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yush Jagtap\OneDrive\Documents\Projects\Financial Analysis Projects\"/>
    </mc:Choice>
  </mc:AlternateContent>
  <xr:revisionPtr revIDLastSave="0" documentId="13_ncr:1_{84546B9F-B935-479E-9B57-4E63DC71CD79}" xr6:coauthVersionLast="47" xr6:coauthVersionMax="47" xr10:uidLastSave="{00000000-0000-0000-0000-000000000000}"/>
  <bookViews>
    <workbookView xWindow="-110" yWindow="-110" windowWidth="19420" windowHeight="12220" tabRatio="864" activeTab="1" xr2:uid="{00000000-000D-0000-FFFF-FFFF00000000}"/>
  </bookViews>
  <sheets>
    <sheet name="Project Overview" sheetId="1" r:id="rId1"/>
    <sheet name="Name &amp; Details" sheetId="2" r:id="rId2"/>
    <sheet name="OBJECTIVE &amp; METHODOLOGY" sheetId="3" r:id="rId3"/>
    <sheet name="Profit &amp; Loss" sheetId="4" r:id="rId4"/>
    <sheet name="Cash Flow Statement" sheetId="5" r:id="rId5"/>
    <sheet name="Balance sheet" sheetId="6" r:id="rId6"/>
    <sheet name="Ratios Cal &amp; Analysis" sheetId="7" r:id="rId7"/>
    <sheet name="Dashboard" sheetId="8" r:id="rId8"/>
    <sheet name="Profitability Analysis" sheetId="9" r:id="rId9"/>
    <sheet name="Efficiency &amp; Working Capital An" sheetId="10" r:id="rId10"/>
    <sheet name="Liquidity &amp; Solvency Analysis" sheetId="11" r:id="rId11"/>
    <sheet name="Investment &amp; Financial Conclusi" sheetId="12" r:id="rId12"/>
  </sheets>
  <definedNames>
    <definedName name="_xlnm._FilterDatabase" localSheetId="5" hidden="1">'Balance sheet'!$A$5:$N$36</definedName>
    <definedName name="_xlnm._FilterDatabase" localSheetId="4" hidden="1">'Cash Flow Statement'!$A$5:$N$30</definedName>
    <definedName name="_xlnm._FilterDatabase" localSheetId="3" hidden="1">'Profit &amp; Loss'!$A$5:$N$30</definedName>
    <definedName name="_xlnm.Print_Area" localSheetId="5">'Balance sheet'!$A$1:$N$35</definedName>
    <definedName name="_xlnm.Print_Area" localSheetId="4">'Cash Flow Statement'!$A$1:$N$30</definedName>
    <definedName name="_xlnm.Print_Area" localSheetId="7">Dashboard!$A$1:$Y$41</definedName>
    <definedName name="_xlnm.Print_Area" localSheetId="9">'Efficiency &amp; Working Capital An'!$A$1:$N$27</definedName>
    <definedName name="_xlnm.Print_Area" localSheetId="11">'Investment &amp; Financial Conclusi'!$A$1:$L$45</definedName>
    <definedName name="_xlnm.Print_Area" localSheetId="10">'Liquidity &amp; Solvency Analysis'!$A$1:$N$20</definedName>
    <definedName name="_xlnm.Print_Area" localSheetId="1">'Name &amp; Details'!$B$1:$G$37</definedName>
    <definedName name="_xlnm.Print_Area" localSheetId="2">'OBJECTIVE &amp; METHODOLOGY'!$B$1:$F$37</definedName>
    <definedName name="_xlnm.Print_Area" localSheetId="3">'Profit &amp; Loss'!$A$1:$N$30</definedName>
    <definedName name="_xlnm.Print_Area" localSheetId="8">'Profitability Analysis'!$A$1:$N$21</definedName>
    <definedName name="_xlnm.Print_Area" localSheetId="0">'Project Overview'!$B$2:$G$44</definedName>
    <definedName name="_xlnm.Print_Area" localSheetId="6">'Ratios Cal &amp; Analysis'!$A$1:$V$30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11" l="1"/>
  <c r="M11" i="11"/>
  <c r="L11" i="11"/>
  <c r="K11" i="11"/>
  <c r="J11" i="11"/>
  <c r="I11" i="11"/>
  <c r="H11" i="11"/>
  <c r="G11" i="11"/>
  <c r="F11" i="11"/>
  <c r="E11" i="11"/>
  <c r="D11" i="11"/>
  <c r="C11" i="11"/>
  <c r="N11" i="10"/>
  <c r="M11" i="10"/>
  <c r="L11" i="10"/>
  <c r="K11" i="10"/>
  <c r="J11" i="10"/>
  <c r="I11" i="10"/>
  <c r="H11" i="10"/>
  <c r="G11" i="10"/>
  <c r="F11" i="10"/>
  <c r="E11" i="10"/>
  <c r="D11" i="10"/>
  <c r="C11" i="10"/>
  <c r="N15" i="9"/>
  <c r="M15" i="9"/>
  <c r="L15" i="9"/>
  <c r="K15" i="9"/>
  <c r="J15" i="9"/>
  <c r="I15" i="9"/>
  <c r="H15" i="9"/>
  <c r="G15" i="9"/>
  <c r="F15" i="9"/>
  <c r="E15" i="9"/>
  <c r="D15" i="9"/>
  <c r="C15" i="9"/>
  <c r="N28" i="7"/>
  <c r="M28" i="7"/>
  <c r="L28" i="7"/>
  <c r="K28" i="7"/>
  <c r="J28" i="7"/>
  <c r="I28" i="7"/>
  <c r="H28" i="7"/>
  <c r="G28" i="7"/>
  <c r="F28" i="7"/>
  <c r="E28" i="7"/>
  <c r="D28" i="7"/>
  <c r="C28" i="7"/>
  <c r="N27" i="7"/>
  <c r="M27" i="7"/>
  <c r="L27" i="7"/>
  <c r="K27" i="7"/>
  <c r="J27" i="7"/>
  <c r="I27" i="7"/>
  <c r="H27" i="7"/>
  <c r="G27" i="7"/>
  <c r="F27" i="7"/>
  <c r="E27" i="7"/>
  <c r="D27" i="7"/>
  <c r="C27" i="7"/>
  <c r="N23" i="7"/>
  <c r="M23" i="7"/>
  <c r="L23" i="7"/>
  <c r="K23" i="7"/>
  <c r="J23" i="7"/>
  <c r="I23" i="7"/>
  <c r="H23" i="7"/>
  <c r="G23" i="7"/>
  <c r="F23" i="7"/>
  <c r="E23" i="7"/>
  <c r="D23" i="7"/>
  <c r="C23" i="7"/>
  <c r="N22" i="7"/>
  <c r="M22" i="7"/>
  <c r="L22" i="7"/>
  <c r="K22" i="7"/>
  <c r="J22" i="7"/>
  <c r="I22" i="7"/>
  <c r="H22" i="7"/>
  <c r="G22" i="7"/>
  <c r="F22" i="7"/>
  <c r="E22" i="7"/>
  <c r="D22" i="7"/>
  <c r="C22" i="7"/>
  <c r="N21" i="7"/>
  <c r="M21" i="7"/>
  <c r="L21" i="7"/>
  <c r="K21" i="7"/>
  <c r="J21" i="7"/>
  <c r="I21" i="7"/>
  <c r="H21" i="7"/>
  <c r="G21" i="7"/>
  <c r="F21" i="7"/>
  <c r="E21" i="7"/>
  <c r="D21" i="7"/>
  <c r="C21" i="7"/>
  <c r="N20" i="7"/>
  <c r="M20" i="7"/>
  <c r="L20" i="7"/>
  <c r="K20" i="7"/>
  <c r="J20" i="7"/>
  <c r="I20" i="7"/>
  <c r="H20" i="7"/>
  <c r="G20" i="7"/>
  <c r="F20" i="7"/>
  <c r="E20" i="7"/>
  <c r="D20" i="7"/>
  <c r="C20" i="7"/>
  <c r="N19" i="7"/>
  <c r="M19" i="7"/>
  <c r="L19" i="7"/>
  <c r="K19" i="7"/>
  <c r="J19" i="7"/>
  <c r="I19" i="7"/>
  <c r="H19" i="7"/>
  <c r="G19" i="7"/>
  <c r="F19" i="7"/>
  <c r="E19" i="7"/>
  <c r="D19" i="7"/>
  <c r="C19" i="7"/>
  <c r="N15" i="7"/>
  <c r="N13" i="11" s="1"/>
  <c r="M15" i="7"/>
  <c r="M13" i="11" s="1"/>
  <c r="L15" i="7"/>
  <c r="L13" i="11" s="1"/>
  <c r="K15" i="7"/>
  <c r="K13" i="11" s="1"/>
  <c r="J15" i="7"/>
  <c r="J13" i="11" s="1"/>
  <c r="I15" i="7"/>
  <c r="I13" i="11" s="1"/>
  <c r="H15" i="7"/>
  <c r="H13" i="11" s="1"/>
  <c r="G15" i="7"/>
  <c r="G13" i="11" s="1"/>
  <c r="F15" i="7"/>
  <c r="F13" i="11" s="1"/>
  <c r="E15" i="7"/>
  <c r="E13" i="11" s="1"/>
  <c r="D15" i="7"/>
  <c r="D13" i="11" s="1"/>
  <c r="C15" i="7"/>
  <c r="C13" i="11" s="1"/>
  <c r="N14" i="7"/>
  <c r="N13" i="10" s="1"/>
  <c r="M14" i="7"/>
  <c r="M13" i="10" s="1"/>
  <c r="L14" i="7"/>
  <c r="L13" i="10" s="1"/>
  <c r="K14" i="7"/>
  <c r="K13" i="10" s="1"/>
  <c r="J14" i="7"/>
  <c r="J13" i="10" s="1"/>
  <c r="I14" i="7"/>
  <c r="I13" i="10" s="1"/>
  <c r="H14" i="7"/>
  <c r="H13" i="10" s="1"/>
  <c r="G14" i="7"/>
  <c r="G13" i="10" s="1"/>
  <c r="F14" i="7"/>
  <c r="F13" i="10" s="1"/>
  <c r="E14" i="7"/>
  <c r="E13" i="10" s="1"/>
  <c r="D14" i="7"/>
  <c r="D13" i="10" s="1"/>
  <c r="C14" i="7"/>
  <c r="C13" i="10" s="1"/>
  <c r="N12" i="7"/>
  <c r="N12" i="10" s="1"/>
  <c r="M12" i="7"/>
  <c r="M12" i="10" s="1"/>
  <c r="L12" i="7"/>
  <c r="L12" i="10" s="1"/>
  <c r="K12" i="7"/>
  <c r="K12" i="10" s="1"/>
  <c r="J12" i="7"/>
  <c r="J12" i="10" s="1"/>
  <c r="I12" i="7"/>
  <c r="I12" i="10" s="1"/>
  <c r="H12" i="7"/>
  <c r="H12" i="10" s="1"/>
  <c r="G12" i="7"/>
  <c r="G12" i="10" s="1"/>
  <c r="F12" i="7"/>
  <c r="F12" i="10" s="1"/>
  <c r="E12" i="7"/>
  <c r="E12" i="10" s="1"/>
  <c r="D12" i="7"/>
  <c r="D12" i="10" s="1"/>
  <c r="C12" i="7"/>
  <c r="C12" i="10" s="1"/>
  <c r="N11" i="7"/>
  <c r="N12" i="11" s="1"/>
  <c r="M11" i="7"/>
  <c r="M12" i="11" s="1"/>
  <c r="L11" i="7"/>
  <c r="L12" i="11" s="1"/>
  <c r="K11" i="7"/>
  <c r="K12" i="11" s="1"/>
  <c r="J11" i="7"/>
  <c r="J12" i="11" s="1"/>
  <c r="I11" i="7"/>
  <c r="I12" i="11" s="1"/>
  <c r="H11" i="7"/>
  <c r="H12" i="11" s="1"/>
  <c r="G11" i="7"/>
  <c r="G12" i="11" s="1"/>
  <c r="F11" i="7"/>
  <c r="F12" i="11" s="1"/>
  <c r="E11" i="7"/>
  <c r="E12" i="11" s="1"/>
  <c r="D11" i="7"/>
  <c r="D12" i="11" s="1"/>
  <c r="C11" i="7"/>
  <c r="C12" i="11" s="1"/>
  <c r="N10" i="7"/>
  <c r="N15" i="10" s="1"/>
  <c r="M10" i="7"/>
  <c r="M15" i="10" s="1"/>
  <c r="L10" i="7"/>
  <c r="L15" i="10" s="1"/>
  <c r="K10" i="7"/>
  <c r="K15" i="10" s="1"/>
  <c r="J10" i="7"/>
  <c r="J15" i="10" s="1"/>
  <c r="I10" i="7"/>
  <c r="I15" i="10" s="1"/>
  <c r="H10" i="7"/>
  <c r="H15" i="10" s="1"/>
  <c r="G10" i="7"/>
  <c r="G15" i="10" s="1"/>
  <c r="F10" i="7"/>
  <c r="F15" i="10" s="1"/>
  <c r="E10" i="7"/>
  <c r="E15" i="10" s="1"/>
  <c r="D10" i="7"/>
  <c r="D15" i="10" s="1"/>
  <c r="C10" i="7"/>
  <c r="C15" i="10" s="1"/>
  <c r="N7" i="7"/>
  <c r="M7" i="7"/>
  <c r="L7" i="7"/>
  <c r="K7" i="7"/>
  <c r="J7" i="7"/>
  <c r="I7" i="7"/>
  <c r="H7" i="7"/>
  <c r="G7" i="7"/>
  <c r="F7" i="7"/>
  <c r="E7" i="7"/>
  <c r="D7" i="7"/>
  <c r="C7" i="7"/>
  <c r="N6" i="7"/>
  <c r="M6" i="7"/>
  <c r="L6" i="7"/>
  <c r="K6" i="7"/>
  <c r="J6" i="7"/>
  <c r="I6" i="7"/>
  <c r="H6" i="7"/>
  <c r="G6" i="7"/>
  <c r="F6" i="7"/>
  <c r="E6" i="7"/>
  <c r="D6" i="7"/>
  <c r="C6" i="7"/>
  <c r="N5" i="7"/>
  <c r="M5" i="7"/>
  <c r="L5" i="7"/>
  <c r="K5" i="7"/>
  <c r="J5" i="7"/>
  <c r="I5" i="7"/>
  <c r="H5" i="7"/>
  <c r="G5" i="7"/>
  <c r="F5" i="7"/>
  <c r="E5" i="7"/>
  <c r="D5" i="7"/>
  <c r="B18" i="9" l="1" a="1"/>
  <c r="I18" i="9" s="1"/>
  <c r="R6" i="7"/>
  <c r="B19" i="9" a="1"/>
  <c r="M20" i="9" s="1"/>
  <c r="B17" i="9" a="1"/>
  <c r="O17" i="9" s="1"/>
  <c r="B16" i="9" a="1"/>
  <c r="J16" i="9" s="1"/>
  <c r="R10" i="7"/>
  <c r="J18" i="9" l="1"/>
  <c r="K20" i="9"/>
  <c r="J19" i="9"/>
  <c r="L20" i="9"/>
  <c r="K18" i="9"/>
  <c r="L18" i="9"/>
  <c r="O18" i="9"/>
  <c r="C18" i="9"/>
  <c r="D18" i="9"/>
  <c r="C19" i="9"/>
  <c r="E18" i="9"/>
  <c r="F20" i="9"/>
  <c r="F18" i="9"/>
  <c r="G20" i="9"/>
  <c r="M18" i="9"/>
  <c r="H20" i="9"/>
  <c r="N18" i="9"/>
  <c r="I20" i="9"/>
  <c r="B18" i="9"/>
  <c r="B20" i="9"/>
  <c r="G18" i="9"/>
  <c r="M19" i="9"/>
  <c r="H18" i="9"/>
  <c r="I19" i="9"/>
  <c r="F17" i="9"/>
  <c r="G17" i="9"/>
  <c r="H17" i="9"/>
  <c r="D20" i="9"/>
  <c r="D16" i="9"/>
  <c r="I17" i="9"/>
  <c r="N16" i="9"/>
  <c r="K17" i="9"/>
  <c r="O16" i="9"/>
  <c r="L17" i="9"/>
  <c r="B16" i="9"/>
  <c r="C20" i="9"/>
  <c r="B17" i="9"/>
  <c r="F16" i="9"/>
  <c r="E20" i="9"/>
  <c r="C17" i="9"/>
  <c r="G16" i="9"/>
  <c r="D19" i="9"/>
  <c r="D17" i="9"/>
  <c r="H16" i="9"/>
  <c r="E19" i="9"/>
  <c r="E17" i="9"/>
  <c r="N20" i="9"/>
  <c r="F19" i="9"/>
  <c r="J17" i="9"/>
  <c r="O20" i="9"/>
  <c r="H19" i="9"/>
  <c r="M17" i="9"/>
  <c r="N19" i="9"/>
  <c r="J20" i="9"/>
  <c r="N17" i="9"/>
  <c r="B19" i="9"/>
  <c r="L19" i="9"/>
  <c r="I16" i="9"/>
  <c r="M16" i="9"/>
  <c r="K16" i="9"/>
  <c r="L16" i="9"/>
  <c r="G19" i="9"/>
  <c r="K19" i="9"/>
  <c r="C16" i="9"/>
  <c r="E16" i="9"/>
  <c r="O19" i="9"/>
</calcChain>
</file>

<file path=xl/sharedStrings.xml><?xml version="1.0" encoding="utf-8"?>
<sst xmlns="http://schemas.openxmlformats.org/spreadsheetml/2006/main" count="335" uniqueCount="281">
  <si>
    <t>INFOSYS LTD</t>
  </si>
  <si>
    <t>FINANCIAL ANALYSIS  |  FY2014–FY2025</t>
  </si>
  <si>
    <t>PROJECT PROFILE</t>
  </si>
  <si>
    <t>ANALYTICAL SCOPE</t>
  </si>
  <si>
    <t>Company</t>
  </si>
  <si>
    <t>Infosys Ltd</t>
  </si>
  <si>
    <t>• Profit &amp; Loss analysis</t>
  </si>
  <si>
    <t>Industry</t>
  </si>
  <si>
    <t>IT Services / Technology</t>
  </si>
  <si>
    <t>• Balance Sheet analysis</t>
  </si>
  <si>
    <t>Analysis Period</t>
  </si>
  <si>
    <t>FY2014–FY2025</t>
  </si>
  <si>
    <t>• Cash Flow analysis</t>
  </si>
  <si>
    <t>Currency</t>
  </si>
  <si>
    <t>₹ Crore</t>
  </si>
  <si>
    <t>• Ratio calculations &amp; interpretation</t>
  </si>
  <si>
    <t>Project Type</t>
  </si>
  <si>
    <t>Corporate Financial Analysis</t>
  </si>
  <si>
    <t>• Profitability analysis</t>
  </si>
  <si>
    <t>Primary Tool</t>
  </si>
  <si>
    <t>• Efficiency &amp; Working Capital analysis</t>
  </si>
  <si>
    <t>• Liquidity &amp; Solvency analysis</t>
  </si>
  <si>
    <t>• Investment &amp; financial conclusion</t>
  </si>
  <si>
    <t>PROJECT OBJECTIVE</t>
  </si>
  <si>
    <t>To evaluate Infosys Ltd.'s long-term financial performance using its financial statements and ratio framework, with emphasis on profitability, operating efficiency, working capital, liquidity, solvency and shareholder returns.</t>
  </si>
  <si>
    <t>WORKFLOW &amp; TECHNIQUES</t>
  </si>
  <si>
    <t>PROJECT DELIVERABLE</t>
  </si>
  <si>
    <t>✓ Financial statement analysis</t>
  </si>
  <si>
    <t>• 12-year financial statement dataset</t>
  </si>
  <si>
    <t>✓ Ratio calculation &amp; trend analysis</t>
  </si>
  <si>
    <t>• Linked ratio calculations</t>
  </si>
  <si>
    <t>✓ Profitability &amp; margin analysis</t>
  </si>
  <si>
    <t>• Five-sheet analytical framework</t>
  </si>
  <si>
    <t>✓ Efficiency &amp; working capital analysis</t>
  </si>
  <si>
    <t>• Management-style dashboard</t>
  </si>
  <si>
    <t>✓ Liquidity &amp; solvency analysis</t>
  </si>
  <si>
    <t>✓ Excel-based dashboard &amp; visualization</t>
  </si>
  <si>
    <t>• Portfolio-ready Excel workbook</t>
  </si>
  <si>
    <t>WORKBOOK STRUCTURE</t>
  </si>
  <si>
    <t>Name &amp; Details</t>
  </si>
  <si>
    <t>Project identity, analyst profile and portfolio purpose</t>
  </si>
  <si>
    <t>OBJECTIVE &amp; METHODOLOGY</t>
  </si>
  <si>
    <t>Existing objective/methodology worksheet</t>
  </si>
  <si>
    <t>Profit &amp; Loss</t>
  </si>
  <si>
    <t>Historical profit &amp; loss statement</t>
  </si>
  <si>
    <t>Cash Flow Statement</t>
  </si>
  <si>
    <t>Historical cash flow statement</t>
  </si>
  <si>
    <t>Balance sheet</t>
  </si>
  <si>
    <t>Historical balance sheet</t>
  </si>
  <si>
    <t>Ratios Cal &amp; Analysis</t>
  </si>
  <si>
    <t>Ratio calculations and underlying analysis</t>
  </si>
  <si>
    <t>Dashboard</t>
  </si>
  <si>
    <t>Financial performance dashboard and charts</t>
  </si>
  <si>
    <t>Profitability Analysis</t>
  </si>
  <si>
    <t>Profitability ratio analysis</t>
  </si>
  <si>
    <t>Efficiency &amp; Working Capital An</t>
  </si>
  <si>
    <t>Operating efficiency and working capital analysis</t>
  </si>
  <si>
    <t>Liquidity &amp; Solvency Analysis</t>
  </si>
  <si>
    <t>Liquidity and capital structure analysis</t>
  </si>
  <si>
    <t>Investment &amp; Financial Conclusi</t>
  </si>
  <si>
    <t>Investment and financial conclusion</t>
  </si>
  <si>
    <t>Prepared as a finance portfolio project • Original analysis and calculations retained • Presentation redesigned for professional use</t>
  </si>
  <si>
    <t>INFOSYS LTD — FINANCIAL ANALYSIS PROJECT</t>
  </si>
  <si>
    <t>IT Services | Financial Performance &amp; Ratio Analysis | FY2014–FY2025</t>
  </si>
  <si>
    <t>PROJECT &amp; CREATOR DETAILS</t>
  </si>
  <si>
    <t>Project</t>
  </si>
  <si>
    <t>Infosys Ltd — Financial Performance Analysis &amp; Dashboard</t>
  </si>
  <si>
    <t>IT Services / Technology Services</t>
  </si>
  <si>
    <t>Reporting Unit</t>
  </si>
  <si>
    <t>₹ Crores, unless otherwise stated</t>
  </si>
  <si>
    <t>Prepared By</t>
  </si>
  <si>
    <t>Ayush Nitin Jagtap</t>
  </si>
  <si>
    <t>Professional Focus</t>
  </si>
  <si>
    <t>Education</t>
  </si>
  <si>
    <t>B.Com (Business Administration) | M.Com (Advanced Accounting &amp; Income Tax)</t>
  </si>
  <si>
    <t>PROJECT PURPOSE</t>
  </si>
  <si>
    <t>To evaluate Infosys’ long-term financial performance using the Profit &amp; Loss Account, Balance Sheet and Cash Flow Statement, supported by ratio analysis, profitability analysis, efficiency and working-capital analysis, liquidity and solvency analysis, and dashboard-based presentation.</t>
  </si>
  <si>
    <t>TOOLS, SKILLS &amp; ANALYTICAL TECHNIQUES</t>
  </si>
  <si>
    <t>Efficiency &amp; Working Capital Analysis</t>
  </si>
  <si>
    <t>PORTFOLIO &amp; CONTACT DETAILS</t>
  </si>
  <si>
    <t>Location</t>
  </si>
  <si>
    <t>Pune, Maharashtra, India</t>
  </si>
  <si>
    <t>Email</t>
  </si>
  <si>
    <t>ayushjagtap1657@gmail.com</t>
  </si>
  <si>
    <t>Financial Analysis / Portfolio Project</t>
  </si>
  <si>
    <t>Workbook Scope</t>
  </si>
  <si>
    <t>Financial statements, ratio calculations, analytical schedules and dashboard presentation</t>
  </si>
  <si>
    <t>Original analytical work retained; this sheet documents the project and creator details for portfolio presentation.</t>
  </si>
  <si>
    <t>INFOSYS LTD  |  FINANCIAL ANALYSIS  |  FY2014–FY2025</t>
  </si>
  <si>
    <t>Infosys Ltd | IT Services | FY2014–FY2025 | Financial Analysis &amp; Dashboard Project</t>
  </si>
  <si>
    <t>1  |  PROJECT OBJECTIVE</t>
  </si>
  <si>
    <t>Primary Objective</t>
  </si>
  <si>
    <t>To evaluate Infosys Ltd.’s long-term financial performance and financial position across FY2014–FY2025 using the company’s Profit &amp; Loss Account, Balance Sheet and Cash Flow Statement, and to translate the results into structured financial and ratio-based insights.</t>
  </si>
  <si>
    <t>Analytical Focus</t>
  </si>
  <si>
    <t>The project covers revenue and profit trends, operating performance, cash generation, working capital, liquidity, solvency/capital structure, asset efficiency and selected financial ratios.</t>
  </si>
  <si>
    <t>2  |  SCOPE OF ANALYSIS</t>
  </si>
  <si>
    <t>Financial Statements</t>
  </si>
  <si>
    <t>Profit &amp; Loss; Cash Flow Statement; Balance Sheet. These form the primary financial statement base for the linked calculations and analysis schedules.</t>
  </si>
  <si>
    <t>Ratio &amp; Performance Analysis</t>
  </si>
  <si>
    <t>Sales growth, operating performance, net profit margin, fixed-asset turnover, net working capital, debtor days, inventory days, creditor days and debt-to-total-capital, along with profitability, efficiency, liquidity and solvency analysis.</t>
  </si>
  <si>
    <t>Dashboard &amp; Presentation</t>
  </si>
  <si>
    <t>A dashboard layer consolidates selected financial trends and analytical outputs into a management-style visual summary for easier interpretation.</t>
  </si>
  <si>
    <t>3  |  METHODOLOGY</t>
  </si>
  <si>
    <t>Step 01 — Financial Data</t>
  </si>
  <si>
    <t>Organise the FY2014–FY2025 financial statement figures in Excel and establish consistent year-wise reporting in ₹ crores.</t>
  </si>
  <si>
    <t>Step 02 — Formula Linkage</t>
  </si>
  <si>
    <t>Use Excel formulas and linked schedules to derive growth rates, margins, working-capital measures, turnover metrics and capital-structure ratios from the underlying statements.</t>
  </si>
  <si>
    <t>Step 03 — Ratio Analysis</t>
  </si>
  <si>
    <t>Group the calculated metrics into profitability, efficiency &amp; working capital, liquidity &amp; solvency, and broader financial-performance sections.</t>
  </si>
  <si>
    <t>Step 04 — Interpretation</t>
  </si>
  <si>
    <t>Review the direction and movement of the calculated metrics over the analysis period and connect the results to the relevant financial statement drivers.</t>
  </si>
  <si>
    <t>Step 05 — Visualisation</t>
  </si>
  <si>
    <t>Present selected trends and analytical outputs through charts and a financial dashboard for portfolio-ready communication.</t>
  </si>
  <si>
    <t>4  |  AI-ASSISTED WORKFLOW</t>
  </si>
  <si>
    <t>AI Assistant</t>
  </si>
  <si>
    <t>ChatGPT was used as an AI assistant during the project workflow for analytical support, structuring ideas, interpretation support and presentation guidance. The underlying workbook, calculations and final Excel implementation remain the project work product.</t>
  </si>
  <si>
    <t>Human Validation</t>
  </si>
  <si>
    <t>Financial figures, formulas, analysis logic and final presentation were reviewed and implemented in Excel. AI assistance is treated as a productivity and reasoning aid rather than a substitute for financial analysis.</t>
  </si>
  <si>
    <t>5  |  PROJECT DELIVERABLES</t>
  </si>
  <si>
    <t>6  |  DATA &amp; INTERPRETATION NOTE</t>
  </si>
  <si>
    <t>Source Basis</t>
  </si>
  <si>
    <t>The workbook uses the financial statement data and supporting schedules contained within the project. The analysis period is FY2014–FY2025 and figures are presented in ₹ crores unless otherwise stated.</t>
  </si>
  <si>
    <t>Service-Business Context</t>
  </si>
  <si>
    <t>Because Infosys operates as an IT services business, inventory-related measures have limited relevance in comparison with working-capital, receivables, payables, cash generation and asset-efficiency measures. The workbook reflects this context in its ratio analysis.</t>
  </si>
  <si>
    <t>Professional documentation of the existing Infosys financial analysis workbook — original calculations and analytical schedules retained.</t>
  </si>
  <si>
    <t>INFOSYS LTD  |  OBJECTIVE &amp; METHODOLOGY  |  FY2014–FY2025</t>
  </si>
  <si>
    <t>Infosys LTD Finacial ststement 2014-2025</t>
  </si>
  <si>
    <t>All figures in Cr.</t>
  </si>
  <si>
    <t>TTM</t>
  </si>
  <si>
    <t>Sales -</t>
  </si>
  <si>
    <t>Sales Growth %</t>
  </si>
  <si>
    <t>Expenses  (COGS) -</t>
  </si>
  <si>
    <t>Manufacturing Cost %</t>
  </si>
  <si>
    <t>Employee Cost %</t>
  </si>
  <si>
    <t>Other Cost %</t>
  </si>
  <si>
    <t>Operating Profit</t>
  </si>
  <si>
    <t>OPM %</t>
  </si>
  <si>
    <t>Other Income -</t>
  </si>
  <si>
    <t>Exceptional items</t>
  </si>
  <si>
    <t>Other income normal</t>
  </si>
  <si>
    <t>Interest</t>
  </si>
  <si>
    <t>Depreciation</t>
  </si>
  <si>
    <t>Profit before tax</t>
  </si>
  <si>
    <t>Tax %</t>
  </si>
  <si>
    <t>Net Profit -</t>
  </si>
  <si>
    <t>Profit from Associates</t>
  </si>
  <si>
    <t>Minority share</t>
  </si>
  <si>
    <t>Exceptional items AT</t>
  </si>
  <si>
    <t>Profit excl Excep</t>
  </si>
  <si>
    <t>Profit for PE</t>
  </si>
  <si>
    <t>Profit for EPS</t>
  </si>
  <si>
    <t>Profit Growth %</t>
  </si>
  <si>
    <t>EPS in Rs</t>
  </si>
  <si>
    <t>Dividend Payout %</t>
  </si>
  <si>
    <t>Cash Flows</t>
  </si>
  <si>
    <t>All Fifures in CR.</t>
  </si>
  <si>
    <t>Cash from Operating Activity -</t>
  </si>
  <si>
    <t>Profit from operations</t>
  </si>
  <si>
    <t>Receivables</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</si>
  <si>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</si>
  <si>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</si>
  <si>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</si>
  <si>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</si>
  <si>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</si>
  <si>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</si>
  <si>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</si>
  <si>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</si>
  <si>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</si>
  <si>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</si>
  <si>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</si>
  <si>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</si>
  <si>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Acquisition of companies</t>
  </si>
  <si>
    <t>Inter corporate deposits</t>
  </si>
  <si>
    <t>Other investing items</t>
  </si>
  <si>
    <t>Cash from Financing Activity -</t>
  </si>
  <si>
    <t>Proceeds from shares</t>
  </si>
  <si>
    <t>Repayment of borrowings</t>
  </si>
  <si>
    <t>Dividends paid</t>
  </si>
  <si>
    <t>Financial liabilities</t>
  </si>
  <si>
    <t>Other financing items</t>
  </si>
  <si>
    <t>Net Cash Flow</t>
  </si>
  <si>
    <t>Balance Sheet</t>
  </si>
  <si>
    <t>All figures in Cr</t>
  </si>
  <si>
    <t>Equity Capital</t>
  </si>
  <si>
    <t>Reserves</t>
  </si>
  <si>
    <t>Borrowings -</t>
  </si>
  <si>
    <t>Lease Liabilities</t>
  </si>
  <si>
    <t>Other Liabilities -</t>
  </si>
  <si>
    <t>Non controlling int</t>
  </si>
  <si>
    <t>Trade Payables</t>
  </si>
  <si>
    <t>Advance from Customers</t>
  </si>
  <si>
    <t>Other liability items</t>
  </si>
  <si>
    <t>Total Liabilities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</si>
  <si>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</si>
  <si>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</si>
  <si>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</si>
  <si>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</si>
  <si>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</si>
  <si>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</si>
  <si>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</si>
  <si>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</si>
  <si>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</si>
  <si>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</si>
  <si>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</si>
  <si>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</si>
  <si>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</si>
  <si>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Investments</t>
  </si>
  <si>
    <t>Other Assets -</t>
  </si>
  <si>
    <t>Trade receivables</t>
  </si>
  <si>
    <t>Cash Equivalents</t>
  </si>
  <si>
    <t>Loans n Advances</t>
  </si>
  <si>
    <t>Other asset items</t>
  </si>
  <si>
    <t>Total Assets</t>
  </si>
  <si>
    <t>Ratios Calculation &amp; Analysis Infosys Ltd</t>
  </si>
  <si>
    <t>No.</t>
  </si>
  <si>
    <t>Particular</t>
  </si>
  <si>
    <t xml:space="preserve">Profit &amp; Loss </t>
  </si>
  <si>
    <t>-</t>
  </si>
  <si>
    <t xml:space="preserve">Operating Performance Management </t>
  </si>
  <si>
    <t>Performing consistently average of</t>
  </si>
  <si>
    <t>Net Profit Margin                                                               (NP/Sales)</t>
  </si>
  <si>
    <t xml:space="preserve">Net profit margins declined after FY2019 due to margin pressures </t>
  </si>
  <si>
    <t xml:space="preserve">Balance sheet </t>
  </si>
  <si>
    <t>Fixed assets turnover ratio                       (Sales/Net fixed assets)</t>
  </si>
  <si>
    <t xml:space="preserve">The average return of fixed assets are </t>
  </si>
  <si>
    <t>Net working capital                (Current assets-Current Liabilities)</t>
  </si>
  <si>
    <t>Debtor days    (Average Trade Receivables /Revenue X 365)  in Days</t>
  </si>
  <si>
    <t>Inventory days                       (Average inventory/COGS  X 365 )</t>
  </si>
  <si>
    <t xml:space="preserve">                Inventory days not significant due to service-based business model   Not applicable (service-based business)</t>
  </si>
  <si>
    <t>Creditor days                   (Average trade payable/COGS X 365) In Days</t>
  </si>
  <si>
    <t>Debt to total capital                 (Debt/(Debt+Reserves+Share Capital)</t>
  </si>
  <si>
    <t>Cash Flow Statement Analysis</t>
  </si>
  <si>
    <t>Cashflow from Operations</t>
  </si>
  <si>
    <t xml:space="preserve">Cash flows from operations consistently exceeded net profit, demonstrating high earnings quality and strong cash conversion. This indicates that reported profits are supported by actual cash generation.
</t>
  </si>
  <si>
    <t>Net Profit</t>
  </si>
  <si>
    <t xml:space="preserve">Cashflow from Investing </t>
  </si>
  <si>
    <t xml:space="preserve">Cashflow from Financing </t>
  </si>
  <si>
    <t>Cumulative Cashflow from operations</t>
  </si>
  <si>
    <t>Cumulative Net Profit</t>
  </si>
  <si>
    <t>Return on Capital Employed       Operating Profit(EBIT) / Total Assets - Current Liablities X 100</t>
  </si>
  <si>
    <t>Return on Equity %</t>
  </si>
  <si>
    <t>All monetary figures are in ₹ Crores unless stated otherwise.</t>
  </si>
  <si>
    <t>COGS for service-based company has been proxied using operating expenses wherever required.</t>
  </si>
  <si>
    <t>Infosys Ltd - Financial Performance Dashboard</t>
  </si>
  <si>
    <t>Period: 2014 - 2025 | Currency: Crores</t>
  </si>
  <si>
    <t>Capital-light IT services company with strong cash generation and conservative leverage</t>
  </si>
  <si>
    <t>Revenue</t>
  </si>
  <si>
    <t>ROE</t>
  </si>
  <si>
    <t>ROCE</t>
  </si>
  <si>
    <t>Debt to Capital</t>
  </si>
  <si>
    <t>1,62,990 Crores</t>
  </si>
  <si>
    <t>26,750 Crores</t>
  </si>
  <si>
    <t>Company Overview</t>
  </si>
  <si>
    <t>Company: Infosys Ltd</t>
  </si>
  <si>
    <t>Industry: IT Services</t>
  </si>
  <si>
    <t>Period Analysed: Mar-2014 to Mar-2025</t>
  </si>
  <si>
    <t>Objective: To evaluate profitability, efficiency, liquidity and capital structure using ratio analysis.</t>
  </si>
  <si>
    <t>Data Source: Audited Profit &amp; Loss Account, Balance Sheet and Cash Flow Statements.</t>
  </si>
  <si>
    <t>Debtor days</t>
  </si>
  <si>
    <t xml:space="preserve">Creditor days </t>
  </si>
  <si>
    <t xml:space="preserve">Inventory Days </t>
  </si>
  <si>
    <t>Fixed Asset Turnover Ratio</t>
  </si>
  <si>
    <t>Net Working Capital</t>
  </si>
  <si>
    <t>• Financial statement analysis across FY2014–FY2025</t>
  </si>
  <si>
    <t>• Formula-driven ratio calculation schedule</t>
  </si>
  <si>
    <t>• Efficiency &amp; working capital analysis</t>
  </si>
  <si>
    <t>• Liquidity &amp; solvency analysis</t>
  </si>
  <si>
    <t>• Cash flow analysis</t>
  </si>
  <si>
    <t>• Interactive/visual financial dashboard</t>
  </si>
  <si>
    <t>Sales Growth                                                       (CY sales/PY Sales-1)</t>
  </si>
  <si>
    <t xml:space="preserve">AI - Integrated Finance | Accounting | Finance &amp; Business Analysis | Financial Modeling 						</t>
  </si>
  <si>
    <t>• Microsoft Excel</t>
  </si>
  <si>
    <t>• Financial Statement Analysis</t>
  </si>
  <si>
    <t>• Ratio Analysis</t>
  </si>
  <si>
    <t>• Profitability Analysis</t>
  </si>
  <si>
    <t>• Liquidity &amp; Solvency Analysis</t>
  </si>
  <si>
    <t>• Efficiency &amp; Working Capital Analysis</t>
  </si>
  <si>
    <t>• Cash Flow Analysis</t>
  </si>
  <si>
    <t>• Financial Dashboard &amp; Data Visualization</t>
  </si>
  <si>
    <t>• Formula-driven analysis &amp; linked schedules</t>
  </si>
  <si>
    <t>Microsoft Excel + ChatGPT (AI 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</si>
</sst>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
    <numFmt numFmtId="165" formatCode="0.0%"/>
    <numFmt numFmtId="166" formatCode="_ [$₹-4009]\ * #,##0.00_ ;_ [$₹-4009]\ * \-#,##0.00_ ;_ [$₹-4009]\ * &quot;-&quot;??_ ;_ @_ "/>
    <numFmt numFmtId="167" formatCode="#,##0.00;[Red]\(#,##0.00\);\-"/>
    <numFmt numFmtId="168" formatCode="0.0"/>
  </numFmts>
  <fonts count="66" x14ac:knownFonts="1">
    <font>
      <sz val="11"/>
      <color theme="1"/>
      <name val="Calibri"/>
      <family val="2"/>
      <scheme val="minor"/>
    </font>
    <font>
      <sz val="11"/>
      <color rgb="FF606F7B"/>
      <name val="Arial"/>
      <family val="2"/>
    </font>
    <font>
      <sz val="11"/>
      <color theme="1"/>
      <name val="Arial"/>
      <family val="2"/>
    </font>
    <font>
      <sz val="11"/>
      <color theme="1"/>
      <name val="Arial"/>
      <family val="2"/>
    </font>
    <font>
      <b/>
      <sz val="11"/>
      <color theme="1"/>
      <name val="Calibri"/>
      <family val="2"/>
      <scheme val="minor"/>
    </font>
    <font>
      <sz val="11"/>
      <color theme="1"/>
      <name val="Calibri"/>
      <family val="2"/>
      <scheme val="minor"/>
    </font>
    <font>
      <sz val="11"/>
      <color rgb="FFFF0000"/>
      <name val="Calibri"/>
      <family val="2"/>
      <scheme val="minor"/>
    </font>
    <font>
      <i/>
      <sz val="11"/>
      <color theme="1"/>
      <name val="Calibri"/>
      <family val="2"/>
      <scheme val="minor"/>
    </font>
    <font>
      <b/>
      <i/>
      <sz val="11"/>
      <color theme="1"/>
      <name val="Calibri"/>
      <family val="2"/>
      <scheme val="minor"/>
    </font>
    <font>
      <sz val="14"/>
      <color theme="1"/>
      <name val="Calibri"/>
      <family val="2"/>
      <scheme val="minor"/>
    </font>
    <font>
      <b/>
      <sz val="14"/>
      <color theme="1"/>
      <name val="Calibri"/>
      <family val="2"/>
      <scheme val="minor"/>
    </font>
    <font>
      <sz val="11"/>
      <name val="Calibri"/>
      <family val="2"/>
      <scheme val="minor"/>
    </font>
    <font>
      <sz val="11"/>
      <color theme="0"/>
      <name val="Calibri"/>
      <family val="2"/>
      <scheme val="minor"/>
    </font>
    <font>
      <b/>
      <sz val="25"/>
      <color rgb="FFFFFFFF"/>
      <name val="Aptos Display"/>
      <family val="2"/>
    </font>
    <font>
      <b/>
      <sz val="12"/>
      <color rgb="FF0B5CAD"/>
      <name val="Aptos"/>
      <family val="2"/>
    </font>
    <font>
      <b/>
      <sz val="11"/>
      <color rgb="FFFFFFFF"/>
      <name val="Aptos"/>
      <family val="2"/>
    </font>
    <font>
      <b/>
      <sz val="10"/>
      <color rgb="FF52606D"/>
      <name val="Aptos"/>
      <family val="2"/>
    </font>
    <font>
      <sz val="10"/>
      <color rgb="FF1F2933"/>
      <name val="Aptos"/>
      <family val="2"/>
    </font>
    <font>
      <sz val="10.5"/>
      <color rgb="FF1F2933"/>
      <name val="Aptos"/>
      <family val="2"/>
    </font>
    <font>
      <b/>
      <sz val="9.5"/>
      <color rgb="FF0B5CAD"/>
      <name val="Aptos"/>
      <family val="2"/>
    </font>
    <font>
      <sz val="9.5"/>
      <color rgb="FF1F2933"/>
      <name val="Aptos"/>
      <family val="2"/>
    </font>
    <font>
      <i/>
      <sz val="9"/>
      <color rgb="FF52606D"/>
      <name val="Aptos"/>
      <family val="2"/>
    </font>
    <font>
      <b/>
      <i/>
      <sz val="10"/>
      <color rgb="FF1F2933"/>
      <name val="Aptos"/>
      <family val="2"/>
    </font>
    <font>
      <b/>
      <sz val="10"/>
      <color rgb="FF1F2933"/>
      <name val="Aptos"/>
      <family val="2"/>
    </font>
    <font>
      <b/>
      <sz val="9"/>
      <color rgb="FFFFFFFF"/>
      <name val="Aptos"/>
      <family val="2"/>
    </font>
    <font>
      <i/>
      <sz val="10"/>
      <color rgb="FF1F2933"/>
      <name val="Aptos"/>
      <family val="2"/>
    </font>
    <font>
      <b/>
      <sz val="13"/>
      <color rgb="FFFFFFFF"/>
      <name val="Aptos Display"/>
      <family val="2"/>
    </font>
    <font>
      <b/>
      <sz val="10"/>
      <color rgb="FF0B5CAD"/>
      <name val="Aptos"/>
      <family val="2"/>
    </font>
    <font>
      <b/>
      <sz val="19"/>
      <color rgb="FFFFFFFF"/>
      <name val="Aptos Display"/>
      <family val="2"/>
    </font>
    <font>
      <sz val="10"/>
      <color rgb="FF0B5CAD"/>
      <name val="Aptos"/>
      <family val="2"/>
    </font>
    <font>
      <sz val="10"/>
      <color rgb="FF52606D"/>
      <name val="Aptos"/>
      <family val="2"/>
    </font>
    <font>
      <b/>
      <sz val="11"/>
      <color rgb="FF0B5CAD"/>
      <name val="Aptos"/>
      <family val="2"/>
    </font>
    <font>
      <sz val="10"/>
      <color rgb="FF17324D"/>
      <name val="Aptos"/>
      <family val="2"/>
    </font>
    <font>
      <b/>
      <sz val="20"/>
      <color rgb="FFFFFFFF"/>
      <name val="Aptos Display"/>
      <family val="2"/>
    </font>
    <font>
      <b/>
      <sz val="11"/>
      <color rgb="FF1769AA"/>
      <name val="Aptos"/>
      <family val="2"/>
    </font>
    <font>
      <b/>
      <sz val="12"/>
      <color rgb="FFFFFFFF"/>
      <name val="Aptos"/>
      <family val="2"/>
    </font>
    <font>
      <b/>
      <sz val="10"/>
      <color rgb="FFFFFFFF"/>
      <name val="Aptos"/>
      <family val="2"/>
    </font>
    <font>
      <b/>
      <sz val="10"/>
      <color rgb="FFFFFFFF"/>
      <name val="Calibri"/>
      <family val="2"/>
    </font>
    <font>
      <sz val="10"/>
      <color rgb="FF17324D"/>
      <name val="Calibri"/>
      <family val="2"/>
    </font>
    <font>
      <i/>
      <sz val="9"/>
      <color rgb="FF5B7183"/>
      <name val="Aptos"/>
      <family val="2"/>
    </font>
    <font>
      <b/>
      <sz val="9"/>
      <color rgb="FF1769AA"/>
      <name val="Aptos"/>
      <family val="2"/>
    </font>
    <font>
      <b/>
      <sz val="11"/>
      <color rgb="FF1769AA"/>
      <name val="Calibri"/>
      <family val="2"/>
    </font>
    <font>
      <b/>
      <sz val="12"/>
      <color rgb="FFFFFFFF"/>
      <name val="Calibri"/>
      <family val="2"/>
    </font>
    <font>
      <i/>
      <sz val="9"/>
      <color rgb="FF5B7183"/>
      <name val="Calibri"/>
      <family val="2"/>
    </font>
    <font>
      <b/>
      <sz val="9"/>
      <color rgb="FF1769AA"/>
      <name val="Calibri"/>
      <family val="2"/>
    </font>
    <font>
      <i/>
      <sz val="11"/>
      <color rgb="FF1F2933"/>
      <name val="Aptos"/>
      <family val="2"/>
    </font>
    <font>
      <i/>
      <sz val="9"/>
      <color rgb="FF1F2933"/>
      <name val="Aptos"/>
      <family val="2"/>
    </font>
    <font>
      <b/>
      <sz val="16"/>
      <color rgb="FF000000"/>
      <name val="Calibri"/>
      <family val="2"/>
      <scheme val="minor"/>
    </font>
    <font>
      <sz val="14"/>
      <color rgb="FF000000"/>
      <name val="Calibri"/>
      <family val="2"/>
      <scheme val="minor"/>
    </font>
    <font>
      <b/>
      <sz val="14"/>
      <color rgb="FFFFFFFF"/>
      <name val="Aptos"/>
      <family val="2"/>
    </font>
    <font>
      <sz val="14"/>
      <color rgb="FF1F2933"/>
      <name val="Aptos"/>
      <family val="2"/>
    </font>
    <font>
      <i/>
      <sz val="14"/>
      <color rgb="FF1F2933"/>
      <name val="Aptos"/>
      <family val="2"/>
    </font>
    <font>
      <i/>
      <sz val="9.5"/>
      <color rgb="FF0B5CAD"/>
      <name val="Aptos"/>
      <family val="2"/>
    </font>
    <font>
      <b/>
      <sz val="11"/>
      <color rgb="FF1F2933"/>
      <name val="Aptos"/>
      <family val="2"/>
    </font>
    <font>
      <sz val="12"/>
      <color theme="1"/>
      <name val="Calibri"/>
      <family val="2"/>
      <scheme val="minor"/>
    </font>
    <font>
      <b/>
      <sz val="18"/>
      <color rgb="FF1F2933"/>
      <name val="Aptos"/>
      <family val="2"/>
    </font>
    <font>
      <sz val="11"/>
      <color rgb="FF1F2933"/>
      <name val="Aptos"/>
      <family val="2"/>
    </font>
    <font>
      <b/>
      <sz val="14"/>
      <color rgb="FF0B5CAD"/>
      <name val="Aptos"/>
      <family val="2"/>
    </font>
    <font>
      <sz val="12"/>
      <color rgb="FF1F2933"/>
      <name val="Aptos"/>
      <family val="2"/>
    </font>
    <font>
      <b/>
      <sz val="22"/>
      <color rgb="FFFFFFFF"/>
      <name val="Aptos Display"/>
      <family val="2"/>
    </font>
    <font>
      <i/>
      <sz val="10"/>
      <color rgb="FF52606D"/>
      <name val="Aptos"/>
      <family val="2"/>
    </font>
    <font>
      <i/>
      <sz val="11"/>
      <color rgb="FF52606D"/>
      <name val="Aptos"/>
      <family val="2"/>
    </font>
    <font>
      <b/>
      <sz val="18"/>
      <color rgb="FF0B5CAD"/>
      <name val="Aptos Display"/>
      <family val="2"/>
    </font>
    <font>
      <b/>
      <sz val="20"/>
      <color rgb="FF0B5CAD"/>
      <name val="Aptos Display"/>
      <family val="2"/>
    </font>
    <font>
      <b/>
      <sz val="24"/>
      <color rgb="FFFFFFFF"/>
      <name val="Aptos Display"/>
      <family val="2"/>
    </font>
    <font>
      <b/>
      <sz val="16"/>
      <color rgb="FF0B5CAD"/>
      <name val="Aptos"/>
      <family val="2"/>
    </font>
  </fonts>
  <fills count="21">
    <fill>
      <patternFill patternType="none"/>
    </fill>
    <fill>
      <patternFill patternType="gray125"/>
    </fill>
    <fill>
      <patternFill patternType="solid">
        <fgColor rgb="FFFFFFFF"/>
        <bgColor indexed="64"/>
      </patternFill>
    </fill>
    <fill>
      <patternFill patternType="solid">
        <fgColor rgb="FFF8F8FC"/>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12304A"/>
      </patternFill>
    </fill>
    <fill>
      <patternFill patternType="solid">
        <fgColor rgb="FFEAF4FB"/>
      </patternFill>
    </fill>
    <fill>
      <patternFill patternType="solid">
        <fgColor rgb="FF2AA7D6"/>
      </patternFill>
    </fill>
    <fill>
      <patternFill patternType="solid">
        <fgColor rgb="FF0B5CAD"/>
      </patternFill>
    </fill>
    <fill>
      <patternFill patternType="solid">
        <fgColor rgb="FF177E89"/>
      </patternFill>
    </fill>
    <fill>
      <patternFill patternType="solid">
        <fgColor rgb="FFF5FAFD"/>
      </patternFill>
    </fill>
    <fill>
      <patternFill patternType="solid">
        <fgColor rgb="FFFFFFFF"/>
      </patternFill>
    </fill>
    <fill>
      <patternFill patternType="solid">
        <fgColor rgb="FFF7F9FB"/>
      </patternFill>
    </fill>
    <fill>
      <patternFill patternType="solid">
        <fgColor rgb="FF0B1F3A"/>
      </patternFill>
    </fill>
    <fill>
      <patternFill patternType="solid">
        <fgColor rgb="FFEAF3FA"/>
      </patternFill>
    </fill>
    <fill>
      <patternFill patternType="solid">
        <fgColor rgb="FF1769AA"/>
      </patternFill>
    </fill>
    <fill>
      <patternFill patternType="solid">
        <fgColor rgb="FFF5F9FC"/>
      </patternFill>
    </fill>
  </fills>
  <borders count="9">
    <border>
      <left/>
      <right/>
      <top/>
      <bottom/>
      <diagonal/>
    </border>
    <border>
      <left/>
      <right/>
      <top style="medium">
        <color rgb="FFDBE4F0"/>
      </top>
      <bottom/>
      <diagonal/>
    </border>
    <border>
      <left/>
      <right/>
      <top/>
      <bottom style="thin">
        <color rgb="FFC9D5DF"/>
      </bottom>
      <diagonal/>
    </border>
    <border>
      <left/>
      <right/>
      <top/>
      <bottom style="medium">
        <color rgb="FF0B5CAD"/>
      </bottom>
      <diagonal/>
    </border>
    <border>
      <left/>
      <right/>
      <top/>
      <bottom style="thin">
        <color rgb="FFC9D5DF"/>
      </bottom>
      <diagonal/>
    </border>
    <border>
      <left/>
      <right/>
      <top/>
      <bottom/>
      <diagonal/>
    </border>
    <border>
      <left/>
      <right/>
      <top/>
      <bottom style="thin">
        <color rgb="FFC9D7E3"/>
      </bottom>
      <diagonal/>
    </border>
    <border>
      <left style="thin">
        <color rgb="FFC9D7E3"/>
      </left>
      <right style="thin">
        <color rgb="FFC9D7E3"/>
      </right>
      <top/>
      <bottom style="thin">
        <color rgb="FFC9D7E3"/>
      </bottom>
      <diagonal/>
    </border>
    <border>
      <left/>
      <right/>
      <top style="thin">
        <color rgb="FFC9D7E3"/>
      </top>
      <bottom style="thin">
        <color rgb="FFC9D7E3"/>
      </bottom>
      <diagonal/>
    </border>
  </borders>
  <cellStyleXfs count="2">
    <xf numFmtId="0" fontId="0" fillId="0" borderId="0"/>
    <xf numFmtId="9" fontId="5" fillId="0" borderId="0"/>
  </cellStyleXfs>
  <cellXfs count="168">
    <xf numFmtId="0" fontId="0" fillId="0" borderId="0" xfId="0"/>
    <xf numFmtId="0" fontId="1" fillId="2" borderId="0" xfId="0" applyFont="1" applyFill="1" applyAlignment="1">
      <alignment horizontal="left" vertical="center" indent="1"/>
    </xf>
    <xf numFmtId="0" fontId="3" fillId="3" borderId="0" xfId="0" applyFont="1" applyFill="1" applyAlignment="1">
      <alignment horizontal="right" vertical="center" wrapText="1"/>
    </xf>
    <xf numFmtId="0" fontId="3" fillId="2" borderId="0" xfId="0" applyFont="1" applyFill="1" applyAlignment="1">
      <alignment horizontal="right" vertical="center" wrapText="1"/>
    </xf>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1" fillId="2" borderId="0" xfId="0" applyFont="1" applyFill="1" applyAlignment="1">
      <alignment horizontal="left" vertical="center"/>
    </xf>
    <xf numFmtId="0" fontId="2" fillId="2" borderId="1" xfId="0" applyFont="1" applyFill="1" applyBorder="1" applyAlignment="1">
      <alignment horizontal="right" vertical="center" wrapText="1"/>
    </xf>
    <xf numFmtId="0" fontId="0" fillId="0" borderId="0" xfId="0" applyAlignment="1">
      <alignment horizontal="left" indent="5"/>
    </xf>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center"/>
    </xf>
    <xf numFmtId="0" fontId="1" fillId="2" borderId="0" xfId="0" applyFont="1" applyFill="1" applyAlignment="1">
      <alignment vertical="center"/>
    </xf>
    <xf numFmtId="0" fontId="0" fillId="0" borderId="0" xfId="0" applyAlignment="1">
      <alignment horizontal="right" indent="6"/>
    </xf>
    <xf numFmtId="0" fontId="4" fillId="0" borderId="0" xfId="0" applyFont="1" applyAlignment="1">
      <alignment horizontal="center"/>
    </xf>
    <xf numFmtId="0" fontId="4" fillId="0" borderId="0" xfId="0" applyFont="1"/>
    <xf numFmtId="9" fontId="0" fillId="0" borderId="0" xfId="1" applyFont="1"/>
    <xf numFmtId="9" fontId="6" fillId="0" borderId="0" xfId="1" applyFont="1"/>
    <xf numFmtId="9" fontId="0" fillId="0" borderId="0" xfId="0" applyNumberFormat="1"/>
    <xf numFmtId="0" fontId="7" fillId="0" borderId="0" xfId="0" applyFont="1"/>
    <xf numFmtId="164" fontId="8" fillId="6" borderId="0" xfId="0" applyNumberFormat="1" applyFont="1" applyFill="1"/>
    <xf numFmtId="10" fontId="0" fillId="0" borderId="0" xfId="1" applyNumberFormat="1" applyFont="1"/>
    <xf numFmtId="3" fontId="0" fillId="0" borderId="0" xfId="0" applyNumberFormat="1"/>
    <xf numFmtId="0" fontId="9" fillId="0" borderId="0" xfId="0" applyFont="1"/>
    <xf numFmtId="0" fontId="10" fillId="0" borderId="0" xfId="0" applyFont="1"/>
    <xf numFmtId="0" fontId="11" fillId="0" borderId="0" xfId="0" applyFont="1"/>
    <xf numFmtId="9" fontId="11" fillId="0" borderId="0" xfId="1" applyFont="1"/>
    <xf numFmtId="9" fontId="11" fillId="0" borderId="0" xfId="0" applyNumberFormat="1" applyFont="1"/>
    <xf numFmtId="0" fontId="7" fillId="0" borderId="0" xfId="0" applyFont="1" applyAlignment="1">
      <alignment horizontal="left" vertical="top" wrapText="1"/>
    </xf>
    <xf numFmtId="0" fontId="12" fillId="0" borderId="0" xfId="0" applyFont="1"/>
    <xf numFmtId="0" fontId="12" fillId="0" borderId="0" xfId="0" applyFont="1" applyAlignment="1">
      <alignment vertical="center"/>
    </xf>
    <xf numFmtId="0" fontId="0" fillId="11" borderId="0" xfId="0" applyFill="1"/>
    <xf numFmtId="17" fontId="24" fillId="12" borderId="3" xfId="0" applyNumberFormat="1" applyFont="1" applyFill="1" applyBorder="1" applyAlignment="1">
      <alignment horizontal="center" vertical="center"/>
    </xf>
    <xf numFmtId="0" fontId="24" fillId="12" borderId="3" xfId="0" applyFont="1" applyFill="1" applyBorder="1" applyAlignment="1">
      <alignment horizontal="center" vertical="center"/>
    </xf>
    <xf numFmtId="0" fontId="17" fillId="3" borderId="1" xfId="0" applyFont="1" applyFill="1" applyBorder="1" applyAlignment="1">
      <alignment horizontal="left" vertical="center" wrapText="1"/>
    </xf>
    <xf numFmtId="167" fontId="17" fillId="3" borderId="1" xfId="0" applyNumberFormat="1" applyFont="1" applyFill="1" applyBorder="1" applyAlignment="1">
      <alignment horizontal="right" vertical="center"/>
    </xf>
    <xf numFmtId="0" fontId="17" fillId="3" borderId="0" xfId="0" applyFont="1" applyFill="1" applyAlignment="1">
      <alignment horizontal="left" vertical="center" wrapText="1"/>
    </xf>
    <xf numFmtId="167" fontId="17" fillId="3" borderId="0" xfId="0" applyNumberFormat="1" applyFont="1" applyFill="1" applyAlignment="1">
      <alignment horizontal="right" vertical="center"/>
    </xf>
    <xf numFmtId="0" fontId="17" fillId="2" borderId="1" xfId="0" applyFont="1" applyFill="1" applyBorder="1" applyAlignment="1">
      <alignment horizontal="left" vertical="center" wrapText="1"/>
    </xf>
    <xf numFmtId="167" fontId="17" fillId="2" borderId="1" xfId="0" applyNumberFormat="1" applyFont="1" applyFill="1" applyBorder="1" applyAlignment="1">
      <alignment horizontal="right" vertical="center"/>
    </xf>
    <xf numFmtId="0" fontId="17" fillId="2" borderId="0" xfId="0" applyFont="1" applyFill="1" applyAlignment="1">
      <alignment horizontal="left" vertical="center" wrapText="1"/>
    </xf>
    <xf numFmtId="167" fontId="17" fillId="2" borderId="0" xfId="0" applyNumberFormat="1" applyFont="1" applyFill="1" applyAlignment="1">
      <alignment horizontal="right" vertical="center"/>
    </xf>
    <xf numFmtId="0" fontId="22" fillId="3" borderId="1" xfId="0" applyFont="1" applyFill="1" applyBorder="1" applyAlignment="1">
      <alignment horizontal="left" vertical="center" wrapText="1"/>
    </xf>
    <xf numFmtId="167" fontId="23" fillId="3" borderId="1" xfId="0" applyNumberFormat="1" applyFont="1" applyFill="1" applyBorder="1" applyAlignment="1">
      <alignment horizontal="right" vertical="center"/>
    </xf>
    <xf numFmtId="0" fontId="22" fillId="2" borderId="1" xfId="0" applyFont="1" applyFill="1" applyBorder="1" applyAlignment="1">
      <alignment horizontal="left" vertical="center" wrapText="1"/>
    </xf>
    <xf numFmtId="167" fontId="23" fillId="2" borderId="1" xfId="0" applyNumberFormat="1" applyFont="1" applyFill="1" applyBorder="1" applyAlignment="1">
      <alignment horizontal="right" vertical="center"/>
    </xf>
    <xf numFmtId="0" fontId="23" fillId="3"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164" fontId="24" fillId="12" borderId="3" xfId="0" applyNumberFormat="1" applyFont="1" applyFill="1" applyBorder="1" applyAlignment="1">
      <alignment horizontal="center" vertical="center"/>
    </xf>
    <xf numFmtId="0" fontId="23" fillId="0" borderId="0" xfId="0" applyFont="1" applyAlignment="1">
      <alignment horizontal="center" vertical="center" wrapText="1"/>
    </xf>
    <xf numFmtId="0" fontId="23" fillId="0" borderId="0" xfId="0" applyFont="1" applyAlignment="1">
      <alignment horizontal="left" vertical="center" wrapText="1"/>
    </xf>
    <xf numFmtId="0" fontId="17" fillId="0" borderId="0" xfId="0" applyFont="1" applyAlignment="1">
      <alignment horizontal="right" vertical="center" wrapText="1"/>
    </xf>
    <xf numFmtId="0" fontId="17" fillId="0" borderId="0" xfId="0" applyFont="1" applyAlignment="1">
      <alignment horizontal="left" vertical="center" wrapText="1"/>
    </xf>
    <xf numFmtId="4" fontId="17" fillId="0" borderId="0" xfId="1" applyNumberFormat="1" applyFont="1" applyAlignment="1">
      <alignment horizontal="right" vertical="center"/>
    </xf>
    <xf numFmtId="4" fontId="17" fillId="0" borderId="0" xfId="0" applyNumberFormat="1" applyFont="1" applyAlignment="1">
      <alignment horizontal="right" vertical="center"/>
    </xf>
    <xf numFmtId="0" fontId="25" fillId="0" borderId="0" xfId="0" applyFont="1" applyAlignment="1">
      <alignment horizontal="left" vertical="center" wrapText="1"/>
    </xf>
    <xf numFmtId="9" fontId="17" fillId="0" borderId="0" xfId="0" applyNumberFormat="1" applyFont="1" applyAlignment="1">
      <alignment horizontal="left" vertical="center" wrapText="1"/>
    </xf>
    <xf numFmtId="9" fontId="25" fillId="0" borderId="0" xfId="0" applyNumberFormat="1" applyFont="1" applyAlignment="1">
      <alignment horizontal="left" vertical="center" wrapText="1"/>
    </xf>
    <xf numFmtId="10" fontId="17" fillId="0" borderId="0" xfId="1" applyNumberFormat="1" applyFont="1" applyAlignment="1">
      <alignment horizontal="right" vertical="center" wrapText="1"/>
    </xf>
    <xf numFmtId="10" fontId="17" fillId="0" borderId="0" xfId="1" applyNumberFormat="1" applyFont="1" applyAlignment="1">
      <alignment horizontal="left" vertical="center" wrapText="1"/>
    </xf>
    <xf numFmtId="165" fontId="17" fillId="0" borderId="0" xfId="1" applyNumberFormat="1" applyFont="1" applyAlignment="1">
      <alignment horizontal="right" vertical="center"/>
    </xf>
    <xf numFmtId="0" fontId="26" fillId="9" borderId="0" xfId="0" applyFont="1" applyFill="1" applyAlignment="1">
      <alignment horizontal="left" vertical="center"/>
    </xf>
    <xf numFmtId="0" fontId="24" fillId="12" borderId="3" xfId="0" applyFont="1" applyFill="1" applyBorder="1" applyAlignment="1">
      <alignment horizontal="center" vertical="center" wrapText="1"/>
    </xf>
    <xf numFmtId="164" fontId="24" fillId="12" borderId="3" xfId="0" applyNumberFormat="1" applyFont="1" applyFill="1" applyBorder="1" applyAlignment="1">
      <alignment horizontal="center" vertical="center" wrapText="1"/>
    </xf>
    <xf numFmtId="0" fontId="17" fillId="16" borderId="0" xfId="0" applyFont="1" applyFill="1" applyAlignment="1">
      <alignment horizontal="center" vertical="center" wrapText="1"/>
    </xf>
    <xf numFmtId="0" fontId="17" fillId="16" borderId="0" xfId="0" applyFont="1" applyFill="1" applyAlignment="1">
      <alignment horizontal="left" vertical="center" wrapText="1"/>
    </xf>
    <xf numFmtId="9" fontId="17" fillId="16" borderId="0" xfId="1" applyFont="1" applyFill="1" applyAlignment="1">
      <alignment horizontal="left" vertical="center" wrapText="1"/>
    </xf>
    <xf numFmtId="4" fontId="17" fillId="16" borderId="0" xfId="1" applyNumberFormat="1" applyFont="1" applyFill="1" applyAlignment="1">
      <alignment horizontal="right" vertical="center"/>
    </xf>
    <xf numFmtId="0" fontId="17" fillId="0" borderId="0" xfId="0" applyFont="1" applyAlignment="1">
      <alignment horizontal="center" vertical="center" wrapText="1"/>
    </xf>
    <xf numFmtId="9" fontId="17" fillId="0" borderId="0" xfId="1" applyFont="1" applyAlignment="1">
      <alignment horizontal="left" vertical="center" wrapText="1"/>
    </xf>
    <xf numFmtId="165" fontId="17" fillId="16" borderId="0" xfId="1" applyNumberFormat="1" applyFont="1" applyFill="1" applyAlignment="1">
      <alignment horizontal="right" vertical="center"/>
    </xf>
    <xf numFmtId="4" fontId="17" fillId="16" borderId="0" xfId="0" applyNumberFormat="1" applyFont="1" applyFill="1" applyAlignment="1">
      <alignment horizontal="right" vertical="center"/>
    </xf>
    <xf numFmtId="4" fontId="17" fillId="8" borderId="0" xfId="0" applyNumberFormat="1" applyFont="1" applyFill="1" applyAlignment="1">
      <alignment horizontal="right" vertical="center"/>
    </xf>
    <xf numFmtId="0" fontId="32" fillId="0" borderId="5" xfId="0" applyFont="1" applyBorder="1" applyAlignment="1">
      <alignment vertical="center"/>
    </xf>
    <xf numFmtId="0" fontId="36" fillId="17" borderId="6" xfId="0" applyFont="1" applyFill="1" applyBorder="1" applyAlignment="1">
      <alignment vertical="center"/>
    </xf>
    <xf numFmtId="0" fontId="32" fillId="20" borderId="6" xfId="0" applyFont="1" applyFill="1" applyBorder="1" applyAlignment="1">
      <alignment vertical="center"/>
    </xf>
    <xf numFmtId="0" fontId="37" fillId="17" borderId="6" xfId="0" applyFont="1" applyFill="1" applyBorder="1" applyAlignment="1">
      <alignment vertical="center"/>
    </xf>
    <xf numFmtId="0" fontId="32" fillId="0" borderId="5" xfId="0" applyFont="1" applyBorder="1" applyAlignment="1">
      <alignment vertical="top"/>
    </xf>
    <xf numFmtId="0" fontId="38" fillId="20" borderId="6" xfId="0" applyFont="1" applyFill="1" applyBorder="1" applyAlignment="1">
      <alignment vertical="top"/>
    </xf>
    <xf numFmtId="0" fontId="37" fillId="17" borderId="6" xfId="0" applyFont="1" applyFill="1" applyBorder="1" applyAlignment="1">
      <alignment horizontal="center" vertical="center" wrapText="1"/>
    </xf>
    <xf numFmtId="0" fontId="38" fillId="20" borderId="8" xfId="0" applyFont="1" applyFill="1" applyBorder="1" applyAlignment="1">
      <alignment vertical="top"/>
    </xf>
    <xf numFmtId="3" fontId="17" fillId="0" borderId="0" xfId="0" applyNumberFormat="1" applyFont="1" applyAlignment="1">
      <alignment horizontal="right" vertical="center"/>
    </xf>
    <xf numFmtId="0" fontId="46" fillId="0" borderId="0" xfId="0" applyFont="1" applyAlignment="1">
      <alignment horizontal="left" vertical="center" wrapText="1"/>
    </xf>
    <xf numFmtId="0" fontId="47" fillId="0" borderId="0" xfId="0" applyFont="1"/>
    <xf numFmtId="0" fontId="48" fillId="0" borderId="0" xfId="0" applyFont="1"/>
    <xf numFmtId="0" fontId="49" fillId="12" borderId="3" xfId="0" applyFont="1" applyFill="1" applyBorder="1" applyAlignment="1">
      <alignment horizontal="center" vertical="center" wrapText="1"/>
    </xf>
    <xf numFmtId="164" fontId="49" fillId="12" borderId="3" xfId="0" applyNumberFormat="1" applyFont="1" applyFill="1" applyBorder="1" applyAlignment="1">
      <alignment horizontal="center" vertical="center" wrapText="1"/>
    </xf>
    <xf numFmtId="0" fontId="50" fillId="0" borderId="0" xfId="0" applyFont="1" applyAlignment="1">
      <alignment horizontal="center" vertical="center" wrapText="1"/>
    </xf>
    <xf numFmtId="9" fontId="50" fillId="0" borderId="0" xfId="1" applyFont="1" applyAlignment="1">
      <alignment horizontal="left" vertical="center" wrapText="1"/>
    </xf>
    <xf numFmtId="168" fontId="50" fillId="0" borderId="0" xfId="1" applyNumberFormat="1" applyFont="1" applyAlignment="1">
      <alignment horizontal="right" vertical="center"/>
    </xf>
    <xf numFmtId="0" fontId="50" fillId="16" borderId="0" xfId="0" applyFont="1" applyFill="1" applyAlignment="1">
      <alignment horizontal="center" vertical="center" wrapText="1"/>
    </xf>
    <xf numFmtId="2" fontId="50" fillId="16" borderId="0" xfId="1" applyNumberFormat="1" applyFont="1" applyFill="1" applyAlignment="1">
      <alignment horizontal="left" vertical="center" wrapText="1"/>
    </xf>
    <xf numFmtId="168" fontId="50" fillId="16" borderId="0" xfId="1" applyNumberFormat="1" applyFont="1" applyFill="1" applyAlignment="1">
      <alignment horizontal="right" vertical="center"/>
    </xf>
    <xf numFmtId="0" fontId="50" fillId="0" borderId="0" xfId="0" applyFont="1" applyAlignment="1">
      <alignment horizontal="left" vertical="center" wrapText="1"/>
    </xf>
    <xf numFmtId="0" fontId="50" fillId="16" borderId="0" xfId="0" applyFont="1" applyFill="1" applyAlignment="1">
      <alignment horizontal="left" vertical="center" wrapText="1"/>
    </xf>
    <xf numFmtId="4" fontId="50" fillId="16" borderId="0" xfId="0" applyNumberFormat="1" applyFont="1" applyFill="1" applyAlignment="1">
      <alignment horizontal="right" vertical="center"/>
    </xf>
    <xf numFmtId="0" fontId="14" fillId="14" borderId="0" xfId="0" applyFont="1" applyFill="1" applyAlignment="1">
      <alignment vertical="center" wrapText="1"/>
    </xf>
    <xf numFmtId="0" fontId="54" fillId="0" borderId="0" xfId="0" applyFont="1"/>
    <xf numFmtId="0" fontId="32" fillId="20" borderId="8" xfId="0" applyFont="1" applyFill="1" applyBorder="1" applyAlignment="1">
      <alignment vertical="center"/>
    </xf>
    <xf numFmtId="168" fontId="17" fillId="0" borderId="0" xfId="1" applyNumberFormat="1" applyFont="1" applyAlignment="1">
      <alignment horizontal="right" vertical="center"/>
    </xf>
    <xf numFmtId="0" fontId="19" fillId="14" borderId="2" xfId="0" applyFont="1" applyFill="1" applyBorder="1" applyAlignment="1">
      <alignment vertical="center"/>
    </xf>
    <xf numFmtId="0" fontId="0" fillId="0" borderId="4" xfId="0" applyBorder="1"/>
    <xf numFmtId="0" fontId="16" fillId="14" borderId="2" xfId="0" applyFont="1" applyFill="1" applyBorder="1" applyAlignment="1">
      <alignment vertical="center"/>
    </xf>
    <xf numFmtId="0" fontId="20" fillId="15" borderId="2" xfId="0" applyFont="1" applyFill="1" applyBorder="1" applyAlignment="1">
      <alignment vertical="center" wrapText="1"/>
    </xf>
    <xf numFmtId="0" fontId="17" fillId="15" borderId="2" xfId="0" applyFont="1" applyFill="1" applyBorder="1" applyAlignment="1">
      <alignment vertical="center"/>
    </xf>
    <xf numFmtId="0" fontId="15" fillId="9" borderId="2" xfId="0" applyFont="1" applyFill="1" applyBorder="1" applyAlignment="1">
      <alignment horizontal="left" vertical="center"/>
    </xf>
    <xf numFmtId="0" fontId="21" fillId="10" borderId="2" xfId="0" applyFont="1" applyFill="1" applyBorder="1" applyAlignment="1">
      <alignment horizontal="center" vertical="center" wrapText="1"/>
    </xf>
    <xf numFmtId="0" fontId="18" fillId="16" borderId="2" xfId="0" applyFont="1" applyFill="1" applyBorder="1" applyAlignment="1">
      <alignment vertical="center" wrapText="1"/>
    </xf>
    <xf numFmtId="0" fontId="0" fillId="0" borderId="0" xfId="0"/>
    <xf numFmtId="0" fontId="15" fillId="13" borderId="2" xfId="0" applyFont="1" applyFill="1" applyBorder="1" applyAlignment="1">
      <alignment horizontal="left" vertical="center"/>
    </xf>
    <xf numFmtId="0" fontId="13" fillId="9" borderId="0" xfId="0" applyFont="1" applyFill="1" applyAlignment="1">
      <alignment horizontal="center" vertical="center"/>
    </xf>
    <xf numFmtId="0" fontId="0" fillId="0" borderId="0" xfId="0" applyAlignment="1">
      <alignment horizontal="center"/>
    </xf>
    <xf numFmtId="0" fontId="15" fillId="12" borderId="2" xfId="0" applyFont="1" applyFill="1" applyBorder="1" applyAlignment="1">
      <alignment horizontal="left" vertical="center"/>
    </xf>
    <xf numFmtId="0" fontId="14" fillId="10" borderId="0" xfId="0" applyFont="1" applyFill="1" applyAlignment="1">
      <alignment horizontal="center" vertical="center"/>
    </xf>
    <xf numFmtId="0" fontId="33" fillId="17" borderId="5" xfId="0" applyFont="1" applyFill="1" applyBorder="1" applyAlignment="1">
      <alignment horizontal="center" vertical="center"/>
    </xf>
    <xf numFmtId="0" fontId="35" fillId="19" borderId="5" xfId="0" applyFont="1" applyFill="1" applyBorder="1" applyAlignment="1">
      <alignment vertical="center"/>
    </xf>
    <xf numFmtId="0" fontId="39" fillId="0" borderId="5" xfId="0" applyFont="1" applyBorder="1" applyAlignment="1">
      <alignment horizontal="center" vertical="center"/>
    </xf>
    <xf numFmtId="0" fontId="32" fillId="20" borderId="6" xfId="0" applyFont="1" applyFill="1" applyBorder="1" applyAlignment="1">
      <alignment vertical="center" wrapText="1"/>
    </xf>
    <xf numFmtId="0" fontId="0" fillId="0" borderId="6" xfId="0" applyBorder="1"/>
    <xf numFmtId="0" fontId="38" fillId="20" borderId="6" xfId="0" applyFont="1" applyFill="1" applyBorder="1" applyAlignment="1">
      <alignment vertical="center" wrapText="1"/>
    </xf>
    <xf numFmtId="0" fontId="32" fillId="20" borderId="7" xfId="0" applyFont="1" applyFill="1" applyBorder="1" applyAlignment="1">
      <alignment vertical="center" wrapText="1"/>
    </xf>
    <xf numFmtId="0" fontId="0" fillId="0" borderId="7" xfId="0" applyBorder="1" applyAlignment="1">
      <alignment vertical="center"/>
    </xf>
    <xf numFmtId="0" fontId="34" fillId="18" borderId="5" xfId="0" applyFont="1" applyFill="1" applyBorder="1" applyAlignment="1">
      <alignment horizontal="center" vertical="center"/>
    </xf>
    <xf numFmtId="0" fontId="40" fillId="0" borderId="5" xfId="0" applyFont="1" applyBorder="1" applyAlignment="1">
      <alignment horizontal="center"/>
    </xf>
    <xf numFmtId="0" fontId="0" fillId="0" borderId="6" xfId="0" applyBorder="1" applyAlignment="1">
      <alignment vertical="center"/>
    </xf>
    <xf numFmtId="0" fontId="44" fillId="0" borderId="5" xfId="0" applyFont="1" applyBorder="1" applyAlignment="1">
      <alignment horizontal="center"/>
    </xf>
    <xf numFmtId="0" fontId="42" fillId="19" borderId="5" xfId="0" applyFont="1" applyFill="1" applyBorder="1" applyAlignment="1">
      <alignment vertical="center"/>
    </xf>
    <xf numFmtId="0" fontId="38" fillId="20" borderId="6" xfId="0" applyFont="1" applyFill="1" applyBorder="1" applyAlignment="1">
      <alignment vertical="top" wrapText="1"/>
    </xf>
    <xf numFmtId="0" fontId="43" fillId="0" borderId="5" xfId="0" applyFont="1" applyBorder="1" applyAlignment="1">
      <alignment horizontal="center" wrapText="1"/>
    </xf>
    <xf numFmtId="0" fontId="41" fillId="18" borderId="5" xfId="0" applyFont="1" applyFill="1" applyBorder="1" applyAlignment="1">
      <alignment horizontal="center" vertical="top"/>
    </xf>
    <xf numFmtId="0" fontId="64" fillId="9" borderId="0" xfId="0" applyFont="1" applyFill="1" applyAlignment="1">
      <alignment horizontal="center" vertical="center"/>
    </xf>
    <xf numFmtId="0" fontId="63" fillId="10" borderId="0" xfId="0" applyFont="1" applyFill="1" applyAlignment="1">
      <alignment horizontal="center" vertical="center" wrapText="1"/>
    </xf>
    <xf numFmtId="0" fontId="61" fillId="4" borderId="0" xfId="0" applyFont="1" applyFill="1" applyAlignment="1">
      <alignment horizontal="center" vertical="center" wrapText="1"/>
    </xf>
    <xf numFmtId="0" fontId="59" fillId="9" borderId="0" xfId="0" applyFont="1" applyFill="1" applyAlignment="1">
      <alignment horizontal="center" vertical="center"/>
    </xf>
    <xf numFmtId="0" fontId="60" fillId="7" borderId="0" xfId="0" applyFont="1" applyFill="1" applyAlignment="1">
      <alignment horizontal="center" vertical="center" wrapText="1"/>
    </xf>
    <xf numFmtId="0" fontId="62" fillId="10" borderId="0" xfId="0" applyFont="1" applyFill="1" applyAlignment="1">
      <alignment horizontal="center" vertical="center" wrapText="1"/>
    </xf>
    <xf numFmtId="0" fontId="25" fillId="0" borderId="0" xfId="0" applyFont="1" applyAlignment="1">
      <alignment horizontal="center" vertical="center" wrapText="1"/>
    </xf>
    <xf numFmtId="0" fontId="45" fillId="0" borderId="0" xfId="0" applyFont="1" applyAlignment="1">
      <alignment horizontal="center" vertical="center" wrapText="1"/>
    </xf>
    <xf numFmtId="0" fontId="33" fillId="9" borderId="5" xfId="0" applyFont="1" applyFill="1" applyBorder="1" applyAlignment="1">
      <alignment horizontal="center" vertical="center"/>
    </xf>
    <xf numFmtId="0" fontId="29" fillId="10" borderId="0" xfId="0" applyFont="1" applyFill="1" applyAlignment="1">
      <alignment horizontal="center" vertical="center"/>
    </xf>
    <xf numFmtId="0" fontId="31" fillId="10" borderId="0" xfId="0" applyFont="1" applyFill="1" applyAlignment="1">
      <alignment horizontal="center" vertical="center" wrapText="1"/>
    </xf>
    <xf numFmtId="0" fontId="28" fillId="9" borderId="0" xfId="0" applyFont="1" applyFill="1" applyAlignment="1">
      <alignment horizontal="center"/>
    </xf>
    <xf numFmtId="9" fontId="23" fillId="15" borderId="0" xfId="0" applyNumberFormat="1" applyFont="1" applyFill="1" applyAlignment="1">
      <alignment horizontal="center" vertical="center" wrapText="1"/>
    </xf>
    <xf numFmtId="0" fontId="4" fillId="0" borderId="0" xfId="0" applyFont="1"/>
    <xf numFmtId="0" fontId="30" fillId="14" borderId="0" xfId="0" applyFont="1" applyFill="1" applyAlignment="1">
      <alignment horizontal="center" vertical="center"/>
    </xf>
    <xf numFmtId="10" fontId="23" fillId="15" borderId="0" xfId="0" applyNumberFormat="1" applyFont="1" applyFill="1" applyAlignment="1">
      <alignment horizontal="center" vertical="center" wrapText="1"/>
    </xf>
    <xf numFmtId="166" fontId="23" fillId="15" borderId="0" xfId="0" applyNumberFormat="1" applyFont="1" applyFill="1" applyAlignment="1">
      <alignment horizontal="center" vertical="center" wrapText="1"/>
    </xf>
    <xf numFmtId="0" fontId="23" fillId="15" borderId="0" xfId="0" applyFont="1" applyFill="1" applyAlignment="1">
      <alignment horizontal="center" vertical="center" wrapText="1"/>
    </xf>
    <xf numFmtId="0" fontId="65" fillId="14" borderId="0" xfId="0" applyFont="1" applyFill="1" applyAlignment="1">
      <alignment horizontal="center" vertical="center" wrapText="1"/>
    </xf>
    <xf numFmtId="0" fontId="27" fillId="14" borderId="0" xfId="0" applyFont="1" applyFill="1" applyAlignment="1">
      <alignment horizontal="center" vertical="center" wrapText="1"/>
    </xf>
    <xf numFmtId="0" fontId="17" fillId="14" borderId="0" xfId="0" applyFont="1" applyFill="1" applyAlignment="1">
      <alignment horizontal="center" vertical="center" wrapText="1"/>
    </xf>
    <xf numFmtId="0" fontId="17" fillId="15" borderId="0" xfId="0" applyFont="1" applyFill="1" applyAlignment="1">
      <alignment horizontal="center" vertical="center" wrapText="1"/>
    </xf>
    <xf numFmtId="0" fontId="57" fillId="14" borderId="0" xfId="0" applyFont="1" applyFill="1" applyAlignment="1">
      <alignment horizontal="center" vertical="center" wrapText="1"/>
    </xf>
    <xf numFmtId="0" fontId="26" fillId="9" borderId="0" xfId="0" applyFont="1" applyFill="1" applyAlignment="1">
      <alignment horizontal="left" vertical="center"/>
    </xf>
    <xf numFmtId="168" fontId="51" fillId="5" borderId="5" xfId="0" applyNumberFormat="1" applyFont="1" applyFill="1" applyBorder="1" applyAlignment="1">
      <alignment horizontal="center" vertical="center"/>
    </xf>
    <xf numFmtId="0" fontId="14" fillId="14" borderId="0" xfId="0" applyFont="1" applyFill="1" applyAlignment="1">
      <alignment horizontal="center" vertical="center" wrapText="1"/>
    </xf>
    <xf numFmtId="0" fontId="58" fillId="14" borderId="0" xfId="0" applyFont="1" applyFill="1" applyAlignment="1">
      <alignment horizontal="center" vertical="center" wrapText="1"/>
    </xf>
    <xf numFmtId="0" fontId="58" fillId="15" borderId="0" xfId="0" applyFont="1" applyFill="1" applyAlignment="1">
      <alignment horizontal="left" vertical="center" wrapText="1"/>
    </xf>
    <xf numFmtId="0" fontId="9" fillId="0" borderId="0" xfId="0" applyFont="1"/>
    <xf numFmtId="0" fontId="31" fillId="14" borderId="0" xfId="0" applyFont="1" applyFill="1" applyAlignment="1">
      <alignment horizontal="center" vertical="center" wrapText="1"/>
    </xf>
    <xf numFmtId="0" fontId="19" fillId="14" borderId="0" xfId="0" applyFont="1" applyFill="1" applyAlignment="1">
      <alignment horizontal="center" vertical="center" wrapText="1"/>
    </xf>
    <xf numFmtId="0" fontId="52" fillId="14" borderId="0" xfId="0" applyFont="1" applyFill="1" applyAlignment="1">
      <alignment horizontal="center" vertical="center" wrapText="1"/>
    </xf>
    <xf numFmtId="0" fontId="20" fillId="14" borderId="0" xfId="0" applyFont="1" applyFill="1" applyAlignment="1">
      <alignment horizontal="center" vertical="center" wrapText="1"/>
    </xf>
    <xf numFmtId="0" fontId="20" fillId="15" borderId="0" xfId="0" applyFont="1" applyFill="1" applyAlignment="1">
      <alignment horizontal="center" vertical="center" wrapText="1"/>
    </xf>
    <xf numFmtId="0" fontId="56" fillId="14" borderId="0" xfId="0" applyFont="1" applyFill="1" applyAlignment="1">
      <alignment horizontal="center" vertical="center" wrapText="1"/>
    </xf>
    <xf numFmtId="0" fontId="55" fillId="7" borderId="0" xfId="0" applyFont="1" applyFill="1" applyAlignment="1">
      <alignment horizontal="center" vertical="center" wrapText="1"/>
    </xf>
    <xf numFmtId="0" fontId="53" fillId="14" borderId="0" xfId="0" applyFont="1" applyFill="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solidFill>
                  <a:schemeClr val="tx1"/>
                </a:solidFill>
              </a:rPr>
              <a:t>Profitability Trends (FY2014–FY2025)</a:t>
            </a:r>
            <a:endParaRPr lang="en-IN" b="1">
              <a:solidFill>
                <a:schemeClr val="tx1"/>
              </a:solidFill>
            </a:endParaRPr>
          </a:p>
        </c:rich>
      </c:tx>
      <c:overlay val="0"/>
      <c:spPr>
        <a:noFill/>
        <a:ln>
          <a:noFill/>
          <a:prstDash val="solid"/>
        </a:ln>
      </c:spPr>
    </c:title>
    <c:autoTitleDeleted val="0"/>
    <c:plotArea>
      <c:layout/>
      <c:lineChart>
        <c:grouping val="standard"/>
        <c:varyColors val="0"/>
        <c:ser>
          <c:idx val="0"/>
          <c:order val="0"/>
          <c:tx>
            <c:v>Operating Margin</c:v>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Analysis'!$C$6:$N$6</c:f>
              <c:numCache>
                <c:formatCode>#,##0.00</c:formatCode>
                <c:ptCount val="12"/>
                <c:pt idx="0">
                  <c:v>0.27</c:v>
                </c:pt>
                <c:pt idx="1">
                  <c:v>0.28000000000000003</c:v>
                </c:pt>
                <c:pt idx="2">
                  <c:v>0.27</c:v>
                </c:pt>
                <c:pt idx="3">
                  <c:v>0.27</c:v>
                </c:pt>
                <c:pt idx="4">
                  <c:v>0.27</c:v>
                </c:pt>
                <c:pt idx="5">
                  <c:v>0.24</c:v>
                </c:pt>
                <c:pt idx="6">
                  <c:v>0.25</c:v>
                </c:pt>
                <c:pt idx="7">
                  <c:v>0.28000000000000003</c:v>
                </c:pt>
                <c:pt idx="8">
                  <c:v>0.26</c:v>
                </c:pt>
                <c:pt idx="9">
                  <c:v>0.24</c:v>
                </c:pt>
                <c:pt idx="10">
                  <c:v>0.24</c:v>
                </c:pt>
                <c:pt idx="11">
                  <c:v>0.24</c:v>
                </c:pt>
              </c:numCache>
            </c:numRef>
          </c:val>
          <c:smooth val="0"/>
          <c:extLst>
            <c:ext xmlns:c16="http://schemas.microsoft.com/office/drawing/2014/chart" uri="{C3380CC4-5D6E-409C-BE32-E72D297353CC}">
              <c16:uniqueId val="{00000000-216E-4C5B-80C0-21ABE4163D08}"/>
            </c:ext>
          </c:extLst>
        </c:ser>
        <c:ser>
          <c:idx val="1"/>
          <c:order val="1"/>
          <c:tx>
            <c:v>Net Profit Margin </c:v>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Analysis'!$C$7:$N$7</c:f>
              <c:numCache>
                <c:formatCode>0.0%</c:formatCode>
                <c:ptCount val="12"/>
                <c:pt idx="0">
                  <c:v>0.21255460475136137</c:v>
                </c:pt>
                <c:pt idx="1">
                  <c:v>0.2320373600405109</c:v>
                </c:pt>
                <c:pt idx="2">
                  <c:v>0.21602793036626575</c:v>
                </c:pt>
                <c:pt idx="3">
                  <c:v>0.20958180012849717</c:v>
                </c:pt>
                <c:pt idx="4">
                  <c:v>0.22729077451008195</c:v>
                </c:pt>
                <c:pt idx="5">
                  <c:v>0.18639250075597219</c:v>
                </c:pt>
                <c:pt idx="6">
                  <c:v>0.18326706391602693</c:v>
                </c:pt>
                <c:pt idx="7">
                  <c:v>0.19331754120550998</c:v>
                </c:pt>
                <c:pt idx="8">
                  <c:v>0.1820603250548746</c:v>
                </c:pt>
                <c:pt idx="9">
                  <c:v>0.16426035825492105</c:v>
                </c:pt>
                <c:pt idx="10">
                  <c:v>0.17080757467300059</c:v>
                </c:pt>
                <c:pt idx="11">
                  <c:v>0.16412049819007302</c:v>
                </c:pt>
              </c:numCache>
            </c:numRef>
          </c:val>
          <c:smooth val="0"/>
          <c:extLst>
            <c:ext xmlns:c16="http://schemas.microsoft.com/office/drawing/2014/chart" uri="{C3380CC4-5D6E-409C-BE32-E72D297353CC}">
              <c16:uniqueId val="{00000001-216E-4C5B-80C0-21ABE4163D08}"/>
            </c:ext>
          </c:extLst>
        </c:ser>
        <c:ser>
          <c:idx val="2"/>
          <c:order val="2"/>
          <c:tx>
            <c:v>ROCE</c:v>
          </c:tx>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Analysis'!$C$27:$N$27</c:f>
              <c:numCache>
                <c:formatCode>0.0%</c:formatCode>
                <c:ptCount val="12"/>
                <c:pt idx="0">
                  <c:v>0.30186892711409696</c:v>
                </c:pt>
                <c:pt idx="1">
                  <c:v>0.29415368803858011</c:v>
                </c:pt>
                <c:pt idx="2">
                  <c:v>0.27835001140845528</c:v>
                </c:pt>
                <c:pt idx="3">
                  <c:v>0.27113604896888438</c:v>
                </c:pt>
                <c:pt idx="4">
                  <c:v>0.29304519765215092</c:v>
                </c:pt>
                <c:pt idx="5">
                  <c:v>0.31867663090705134</c:v>
                </c:pt>
                <c:pt idx="6">
                  <c:v>0.35571424007156777</c:v>
                </c:pt>
                <c:pt idx="7">
                  <c:v>0.37838167856076843</c:v>
                </c:pt>
                <c:pt idx="8">
                  <c:v>0.4421899573129634</c:v>
                </c:pt>
                <c:pt idx="9">
                  <c:v>0.491040228117749</c:v>
                </c:pt>
                <c:pt idx="10">
                  <c:v>0.43280655893536124</c:v>
                </c:pt>
                <c:pt idx="11">
                  <c:v>0.42808824492111636</c:v>
                </c:pt>
              </c:numCache>
            </c:numRef>
          </c:val>
          <c:smooth val="0"/>
          <c:extLst>
            <c:ext xmlns:c16="http://schemas.microsoft.com/office/drawing/2014/chart" uri="{C3380CC4-5D6E-409C-BE32-E72D297353CC}">
              <c16:uniqueId val="{00000002-216E-4C5B-80C0-21ABE4163D08}"/>
            </c:ext>
          </c:extLst>
        </c:ser>
        <c:dLbls>
          <c:showLegendKey val="0"/>
          <c:showVal val="0"/>
          <c:showCatName val="0"/>
          <c:showSerName val="0"/>
          <c:showPercent val="0"/>
          <c:showBubbleSize val="0"/>
        </c:dLbls>
        <c:marker val="1"/>
        <c:smooth val="0"/>
        <c:axId val="1491558960"/>
        <c:axId val="1491555600"/>
      </c:lineChart>
      <c:catAx>
        <c:axId val="1491558960"/>
        <c:scaling>
          <c:orientation val="minMax"/>
          <c:max val="12"/>
          <c:min val="1"/>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1555600"/>
        <c:crosses val="autoZero"/>
        <c:auto val="1"/>
        <c:lblAlgn val="ctr"/>
        <c:lblOffset val="100"/>
        <c:noMultiLvlLbl val="1"/>
      </c:catAx>
      <c:valAx>
        <c:axId val="14915556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155896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solidFill>
                  <a:schemeClr val="tx1"/>
                </a:solidFill>
              </a:rPr>
              <a:t>Net Profit vs Cash Flow from Operations</a:t>
            </a:r>
          </a:p>
        </c:rich>
      </c:tx>
      <c:overlay val="0"/>
      <c:spPr>
        <a:noFill/>
        <a:ln>
          <a:noFill/>
          <a:prstDash val="solid"/>
        </a:ln>
      </c:spPr>
    </c:title>
    <c:autoTitleDeleted val="0"/>
    <c:plotArea>
      <c:layout/>
      <c:lineChart>
        <c:grouping val="standard"/>
        <c:varyColors val="0"/>
        <c:ser>
          <c:idx val="0"/>
          <c:order val="0"/>
          <c:tx>
            <c:v>Net Profit</c:v>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'Profit &amp; Loss'!$B$21:$M$21</c:f>
              <c:numCache>
                <c:formatCode>#,##0.00;[Red]\(#,##0.00\);\-</c:formatCode>
                <c:ptCount val="12"/>
                <c:pt idx="0">
                  <c:v>10656</c:v>
                </c:pt>
                <c:pt idx="1">
                  <c:v>12372</c:v>
                </c:pt>
                <c:pt idx="2">
                  <c:v>13489</c:v>
                </c:pt>
                <c:pt idx="3">
                  <c:v>14353</c:v>
                </c:pt>
                <c:pt idx="4">
                  <c:v>16029</c:v>
                </c:pt>
                <c:pt idx="5">
                  <c:v>15410</c:v>
                </c:pt>
                <c:pt idx="6">
                  <c:v>16639</c:v>
                </c:pt>
                <c:pt idx="7">
                  <c:v>19423</c:v>
                </c:pt>
                <c:pt idx="8">
                  <c:v>22146</c:v>
                </c:pt>
                <c:pt idx="9">
                  <c:v>24108</c:v>
                </c:pt>
                <c:pt idx="10">
                  <c:v>26248</c:v>
                </c:pt>
                <c:pt idx="11">
                  <c:v>26750</c:v>
                </c:pt>
              </c:numCache>
            </c:numRef>
          </c:val>
          <c:smooth val="0"/>
          <c:extLst>
            <c:ext xmlns:c16="http://schemas.microsoft.com/office/drawing/2014/chart" uri="{C3380CC4-5D6E-409C-BE32-E72D297353CC}">
              <c16:uniqueId val="{00000000-820B-4C35-952F-C9E44D773E03}"/>
            </c:ext>
          </c:extLst>
        </c:ser>
        <c:ser>
          <c:idx val="1"/>
          <c:order val="1"/>
          <c:tx>
            <c:v>Cash Flow Operations</c:v>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'Cash Flow Statement'!$B$6:$M$6</c:f>
              <c:numCache>
                <c:formatCode>#,##0.00;[Red]\(#,##0.00\);\-</c:formatCode>
                <c:ptCount val="12"/>
                <c:pt idx="0">
                  <c:v>9825</c:v>
                </c:pt>
                <c:pt idx="1">
                  <c:v>8353</c:v>
                </c:pt>
                <c:pt idx="2">
                  <c:v>10028</c:v>
                </c:pt>
                <c:pt idx="3">
                  <c:v>11531</c:v>
                </c:pt>
                <c:pt idx="4">
                  <c:v>13218</c:v>
                </c:pt>
                <c:pt idx="5">
                  <c:v>14841</c:v>
                </c:pt>
                <c:pt idx="6">
                  <c:v>17003</c:v>
                </c:pt>
                <c:pt idx="7">
                  <c:v>23224</c:v>
                </c:pt>
                <c:pt idx="8">
                  <c:v>23885</c:v>
                </c:pt>
                <c:pt idx="9">
                  <c:v>22467</c:v>
                </c:pt>
                <c:pt idx="10">
                  <c:v>25210</c:v>
                </c:pt>
                <c:pt idx="11">
                  <c:v>35694</c:v>
                </c:pt>
              </c:numCache>
            </c:numRef>
          </c:val>
          <c:smooth val="0"/>
          <c:extLst>
            <c:ext xmlns:c16="http://schemas.microsoft.com/office/drawing/2014/chart" uri="{C3380CC4-5D6E-409C-BE32-E72D297353CC}">
              <c16:uniqueId val="{00000001-820B-4C35-952F-C9E44D773E03}"/>
            </c:ext>
          </c:extLst>
        </c:ser>
        <c:dLbls>
          <c:showLegendKey val="0"/>
          <c:showVal val="0"/>
          <c:showCatName val="0"/>
          <c:showSerName val="0"/>
          <c:showPercent val="0"/>
          <c:showBubbleSize val="0"/>
        </c:dLbls>
        <c:marker val="1"/>
        <c:smooth val="0"/>
        <c:axId val="1490785984"/>
        <c:axId val="1490785024"/>
      </c:lineChart>
      <c:catAx>
        <c:axId val="149078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785024"/>
        <c:crosses val="autoZero"/>
        <c:auto val="1"/>
        <c:lblAlgn val="ctr"/>
        <c:lblOffset val="100"/>
        <c:noMultiLvlLbl val="0"/>
      </c:catAx>
      <c:valAx>
        <c:axId val="149078502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Red]\(#,##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78598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solidFill>
                  <a:schemeClr val="tx1"/>
                </a:solidFill>
              </a:rPr>
              <a:t>Debtor Days vs Creditor Days</a:t>
            </a:r>
            <a:endParaRPr lang="en-IN" b="1">
              <a:solidFill>
                <a:schemeClr val="tx1"/>
              </a:solidFill>
            </a:endParaRPr>
          </a:p>
        </c:rich>
      </c:tx>
      <c:overlay val="0"/>
      <c:spPr>
        <a:noFill/>
        <a:ln>
          <a:noFill/>
          <a:prstDash val="solid"/>
        </a:ln>
      </c:spPr>
    </c:title>
    <c:autoTitleDeleted val="0"/>
    <c:plotArea>
      <c:layout/>
      <c:lineChart>
        <c:grouping val="standard"/>
        <c:varyColors val="0"/>
        <c:ser>
          <c:idx val="0"/>
          <c:order val="0"/>
          <c:tx>
            <c:v>Debitor Days</c:v>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Analysis'!$C$12:$N$12</c:f>
              <c:numCache>
                <c:formatCode>0.0</c:formatCode>
                <c:ptCount val="12"/>
                <c:pt idx="0">
                  <c:v>68.893296266160377</c:v>
                </c:pt>
                <c:pt idx="1">
                  <c:v>65.718044813013307</c:v>
                </c:pt>
                <c:pt idx="2">
                  <c:v>63.372070957095708</c:v>
                </c:pt>
                <c:pt idx="3">
                  <c:v>63.629381762434036</c:v>
                </c:pt>
                <c:pt idx="4">
                  <c:v>72.799874676901382</c:v>
                </c:pt>
                <c:pt idx="5">
                  <c:v>81.307822804167074</c:v>
                </c:pt>
                <c:pt idx="6">
                  <c:v>96.005005684689237</c:v>
                </c:pt>
                <c:pt idx="7">
                  <c:v>92.891164939981394</c:v>
                </c:pt>
                <c:pt idx="8">
                  <c:v>104.61884999726971</c:v>
                </c:pt>
                <c:pt idx="9">
                  <c:v>119.75053860208895</c:v>
                </c:pt>
                <c:pt idx="10">
                  <c:v>117.96272299378234</c:v>
                </c:pt>
                <c:pt idx="11">
                  <c:v>119.43631660355219</c:v>
                </c:pt>
              </c:numCache>
            </c:numRef>
          </c:val>
          <c:smooth val="0"/>
          <c:extLst>
            <c:ext xmlns:c16="http://schemas.microsoft.com/office/drawing/2014/chart" uri="{C3380CC4-5D6E-409C-BE32-E72D297353CC}">
              <c16:uniqueId val="{00000000-1618-45F6-80A4-74DA8EFCF290}"/>
            </c:ext>
          </c:extLst>
        </c:ser>
        <c:ser>
          <c:idx val="1"/>
          <c:order val="1"/>
          <c:tx>
            <c:v>Creditor Days</c:v>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Analysis'!$C$14:$N$14</c:f>
              <c:numCache>
                <c:formatCode>0.0</c:formatCode>
                <c:ptCount val="12"/>
                <c:pt idx="0">
                  <c:v>1.718558637019296</c:v>
                </c:pt>
                <c:pt idx="1">
                  <c:v>1.4861718180872101</c:v>
                </c:pt>
                <c:pt idx="2">
                  <c:v>2.1161985803095105</c:v>
                </c:pt>
                <c:pt idx="3">
                  <c:v>2.755062149157979</c:v>
                </c:pt>
                <c:pt idx="4">
                  <c:v>3.7453094777562863</c:v>
                </c:pt>
                <c:pt idx="5">
                  <c:v>6.8585313174946005</c:v>
                </c:pt>
                <c:pt idx="6">
                  <c:v>12.003495125795341</c:v>
                </c:pt>
                <c:pt idx="7">
                  <c:v>13.821452681757435</c:v>
                </c:pt>
                <c:pt idx="8">
                  <c:v>13.723433166943982</c:v>
                </c:pt>
                <c:pt idx="9">
                  <c:v>13.076466583659538</c:v>
                </c:pt>
                <c:pt idx="10">
                  <c:v>12.173930658023796</c:v>
                </c:pt>
                <c:pt idx="11">
                  <c:v>11.97456243838583</c:v>
                </c:pt>
              </c:numCache>
            </c:numRef>
          </c:val>
          <c:smooth val="0"/>
          <c:extLst>
            <c:ext xmlns:c16="http://schemas.microsoft.com/office/drawing/2014/chart" uri="{C3380CC4-5D6E-409C-BE32-E72D297353CC}">
              <c16:uniqueId val="{00000001-1618-45F6-80A4-74DA8EFCF290}"/>
            </c:ext>
          </c:extLst>
        </c:ser>
        <c:dLbls>
          <c:showLegendKey val="0"/>
          <c:showVal val="0"/>
          <c:showCatName val="0"/>
          <c:showSerName val="0"/>
          <c:showPercent val="0"/>
          <c:showBubbleSize val="0"/>
        </c:dLbls>
        <c:marker val="1"/>
        <c:smooth val="0"/>
        <c:axId val="1618772272"/>
        <c:axId val="1618772752"/>
      </c:lineChart>
      <c:catAx>
        <c:axId val="161877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8772752"/>
        <c:crosses val="autoZero"/>
        <c:auto val="1"/>
        <c:lblAlgn val="ctr"/>
        <c:lblOffset val="100"/>
        <c:noMultiLvlLbl val="0"/>
      </c:catAx>
      <c:valAx>
        <c:axId val="161877275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87722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solidFill>
                  <a:schemeClr val="tx1"/>
                </a:solidFill>
              </a:rPr>
              <a:t>ROE Trend – Shareholder Return Profile</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'Ratios Cal &amp; Analysis'!$C$28:$N$28</c:f>
              <c:numCache>
                <c:formatCode>0.0%</c:formatCode>
                <c:ptCount val="12"/>
                <c:pt idx="0">
                  <c:v>0.23929934875364922</c:v>
                </c:pt>
                <c:pt idx="1">
                  <c:v>0.24385052034058657</c:v>
                </c:pt>
                <c:pt idx="2">
                  <c:v>0.2184665716506867</c:v>
                </c:pt>
                <c:pt idx="3">
                  <c:v>0.20806877156359629</c:v>
                </c:pt>
                <c:pt idx="4">
                  <c:v>0.24689247262141306</c:v>
                </c:pt>
                <c:pt idx="5">
                  <c:v>0.23726673646609595</c:v>
                </c:pt>
                <c:pt idx="6">
                  <c:v>0.25422459893048127</c:v>
                </c:pt>
                <c:pt idx="7">
                  <c:v>0.2543909051616875</c:v>
                </c:pt>
                <c:pt idx="8">
                  <c:v>0.29390842733908429</c:v>
                </c:pt>
                <c:pt idx="9">
                  <c:v>0.31970506716883046</c:v>
                </c:pt>
                <c:pt idx="10">
                  <c:v>0.29788006718416632</c:v>
                </c:pt>
                <c:pt idx="11">
                  <c:v>0.27917510279905655</c:v>
                </c:pt>
              </c:numCache>
            </c:numRef>
          </c:val>
          <c:extLst>
            <c:ext xmlns:c16="http://schemas.microsoft.com/office/drawing/2014/chart" uri="{C3380CC4-5D6E-409C-BE32-E72D297353CC}">
              <c16:uniqueId val="{00000000-1A2F-4A7C-BCDF-6D05143711D2}"/>
            </c:ext>
          </c:extLst>
        </c:ser>
        <c:dLbls>
          <c:showLegendKey val="0"/>
          <c:showVal val="0"/>
          <c:showCatName val="0"/>
          <c:showSerName val="0"/>
          <c:showPercent val="0"/>
          <c:showBubbleSize val="0"/>
        </c:dLbls>
        <c:gapWidth val="150"/>
        <c:axId val="1328201728"/>
        <c:axId val="1328226208"/>
      </c:barChart>
      <c:catAx>
        <c:axId val="1328201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8226208"/>
        <c:crosses val="autoZero"/>
        <c:auto val="1"/>
        <c:lblAlgn val="ctr"/>
        <c:lblOffset val="100"/>
        <c:noMultiLvlLbl val="0"/>
      </c:catAx>
      <c:valAx>
        <c:axId val="132822620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82017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1" i="0" strike="noStrike" baseline="0">
                <a:solidFill>
                  <a:schemeClr val="tx1"/>
                </a:solidFill>
              </a:rPr>
              <a:t>Debt to Capital Ratio</a:t>
            </a:r>
            <a:endParaRPr lang="en-IN" b="1">
              <a:solidFill>
                <a:schemeClr val="tx1"/>
              </a:solidFill>
            </a:endParaRPr>
          </a:p>
        </c:rich>
      </c:tx>
      <c:overlay val="0"/>
      <c:spPr>
        <a:noFill/>
        <a:ln>
          <a:noFill/>
          <a:prstDash val="solid"/>
        </a:ln>
      </c:spPr>
    </c:title>
    <c:autoTitleDeleted val="0"/>
    <c:plotArea>
      <c:layout>
        <c:manualLayout>
          <c:layoutTarget val="inner"/>
          <c:xMode val="edge"/>
          <c:yMode val="edge"/>
          <c:x val="6.5120983095844659E-2"/>
          <c:y val="0.15979047986705019"/>
          <c:w val="0.91564048541693144"/>
          <c:h val="0.73964365565886525"/>
        </c:manualLayout>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Lit>
              <c:ptCount val="12"/>
              <c:pt idx="0">
                <c:v>Mar-14</c:v>
              </c:pt>
              <c:pt idx="1">
                <c:v> Mar-15</c:v>
              </c:pt>
              <c:pt idx="2">
                <c:v> Mar-16</c:v>
              </c:pt>
              <c:pt idx="3">
                <c:v> Mar-17</c:v>
              </c:pt>
              <c:pt idx="4">
                <c:v> Mar-18</c:v>
              </c:pt>
              <c:pt idx="5">
                <c:v> Mar-19</c:v>
              </c:pt>
              <c:pt idx="6">
                <c:v> Mar-20</c:v>
              </c:pt>
              <c:pt idx="7">
                <c:v> Mar-21</c:v>
              </c:pt>
              <c:pt idx="8">
                <c:v> Mar-22</c:v>
              </c:pt>
              <c:pt idx="9">
                <c:v> Mar-23</c:v>
              </c:pt>
              <c:pt idx="10">
                <c:v> Mar-24</c:v>
              </c:pt>
              <c:pt idx="11">
                <c:v> Mar-25</c:v>
              </c:pt>
            </c:strLit>
          </c:cat>
          <c:val>
            <c:numRef>
              <c:f>'Liquidity &amp; Solvency Analysis'!$C$13:$N$13</c:f>
              <c:numCache>
                <c:formatCode>#,##0.00</c:formatCode>
                <c:ptCount val="12"/>
                <c:pt idx="0">
                  <c:v>0</c:v>
                </c:pt>
                <c:pt idx="1">
                  <c:v>0</c:v>
                </c:pt>
                <c:pt idx="2">
                  <c:v>0</c:v>
                </c:pt>
                <c:pt idx="3">
                  <c:v>0</c:v>
                </c:pt>
                <c:pt idx="4">
                  <c:v>0</c:v>
                </c:pt>
                <c:pt idx="5">
                  <c:v>0</c:v>
                </c:pt>
                <c:pt idx="6">
                  <c:v>6.610732988028481E-2</c:v>
                </c:pt>
                <c:pt idx="7">
                  <c:v>6.5196630589157159E-2</c:v>
                </c:pt>
                <c:pt idx="8">
                  <c:v>6.7727407700682959E-2</c:v>
                </c:pt>
                <c:pt idx="9">
                  <c:v>9.9144625235944861E-2</c:v>
                </c:pt>
                <c:pt idx="10">
                  <c:v>8.6644208344130599E-2</c:v>
                </c:pt>
                <c:pt idx="11">
                  <c:v>7.9071555576913838E-2</c:v>
                </c:pt>
              </c:numCache>
            </c:numRef>
          </c:val>
          <c:smooth val="0"/>
          <c:extLst>
            <c:ext xmlns:c16="http://schemas.microsoft.com/office/drawing/2014/chart" uri="{C3380CC4-5D6E-409C-BE32-E72D297353CC}">
              <c16:uniqueId val="{00000000-8800-45B1-877C-66280E775FEC}"/>
            </c:ext>
          </c:extLst>
        </c:ser>
        <c:dLbls>
          <c:showLegendKey val="0"/>
          <c:showVal val="0"/>
          <c:showCatName val="0"/>
          <c:showSerName val="0"/>
          <c:showPercent val="0"/>
          <c:showBubbleSize val="0"/>
        </c:dLbls>
        <c:marker val="1"/>
        <c:smooth val="0"/>
        <c:axId val="1617279344"/>
        <c:axId val="1617272624"/>
      </c:lineChart>
      <c:catAx>
        <c:axId val="161727934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7272624"/>
        <c:crosses val="autoZero"/>
        <c:auto val="1"/>
        <c:lblAlgn val="ctr"/>
        <c:lblOffset val="100"/>
        <c:noMultiLvlLbl val="0"/>
      </c:catAx>
      <c:valAx>
        <c:axId val="1617272624"/>
        <c:scaling>
          <c:orientation val="minMax"/>
          <c:max val="0.15"/>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72793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266056</xdr:colOff>
      <xdr:row>8</xdr:row>
      <xdr:rowOff>10726</xdr:rowOff>
    </xdr:from>
    <xdr:to>
      <xdr:col>7</xdr:col>
      <xdr:colOff>573051</xdr:colOff>
      <xdr:row>22</xdr:row>
      <xdr:rowOff>178118</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318054</xdr:colOff>
      <xdr:row>8</xdr:row>
      <xdr:rowOff>10726</xdr:rowOff>
    </xdr:from>
    <xdr:to>
      <xdr:col>16</xdr:col>
      <xdr:colOff>27769</xdr:colOff>
      <xdr:row>23</xdr:row>
      <xdr:rowOff>32498</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385092</xdr:colOff>
      <xdr:row>8</xdr:row>
      <xdr:rowOff>10726</xdr:rowOff>
    </xdr:from>
    <xdr:to>
      <xdr:col>24</xdr:col>
      <xdr:colOff>103326</xdr:colOff>
      <xdr:row>23</xdr:row>
      <xdr:rowOff>30468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338702</xdr:colOff>
      <xdr:row>24</xdr:row>
      <xdr:rowOff>66000</xdr:rowOff>
    </xdr:from>
    <xdr:to>
      <xdr:col>11</xdr:col>
      <xdr:colOff>355599</xdr:colOff>
      <xdr:row>39</xdr:row>
      <xdr:rowOff>49212</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134479</xdr:colOff>
      <xdr:row>24</xdr:row>
      <xdr:rowOff>66000</xdr:rowOff>
    </xdr:from>
    <xdr:to>
      <xdr:col>24</xdr:col>
      <xdr:colOff>117142</xdr:colOff>
      <xdr:row>39</xdr:row>
      <xdr:rowOff>22678</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144318</xdr:colOff>
      <xdr:row>7</xdr:row>
      <xdr:rowOff>93808</xdr:rowOff>
    </xdr:from>
    <xdr:to>
      <xdr:col>4</xdr:col>
      <xdr:colOff>28864</xdr:colOff>
      <xdr:row>11</xdr:row>
      <xdr:rowOff>50512</xdr:rowOff>
    </xdr:to>
    <xdr:sp macro="" textlink="">
      <xdr:nvSpPr>
        <xdr:cNvPr id="2" name="TextBox 1">
          <a:extLst>
            <a:ext uri="{FF2B5EF4-FFF2-40B4-BE49-F238E27FC236}">
              <a16:creationId xmlns:a16="http://schemas.microsoft.com/office/drawing/2014/main" id="{8131789C-7C1B-FF8D-E62F-83639BF19F09}"/>
            </a:ext>
          </a:extLst>
        </xdr:cNvPr>
        <xdr:cNvSpPr txBox="1"/>
      </xdr:nvSpPr>
      <xdr:spPr>
        <a:xfrm>
          <a:off x="144318" y="2006024"/>
          <a:ext cx="6451023" cy="8803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Executive Summary: </a:t>
          </a:r>
          <a:r>
            <a:rPr lang="en-IN" sz="1100" b="0" i="0" u="none" strike="noStrike">
              <a:solidFill>
                <a:schemeClr val="dk1"/>
              </a:solidFill>
              <a:effectLst/>
              <a:latin typeface="+mn-lt"/>
              <a:ea typeface="+mn-ea"/>
              <a:cs typeface="+mn-cs"/>
            </a:rPr>
            <a:t>Over the period analysed, Infosys has maintained a strong financial profile characterised by healthy profitability, efficient use of capital, and a conservative balance sheet. The company’s capital-light operating model and consistently strong operating cash flows support high returns on capital and reflect the quality and sustainability of its earnings.</a:t>
          </a:r>
          <a:r>
            <a:rPr lang="en-IN" sz="1200">
              <a:effectLst/>
            </a:rPr>
            <a:t> </a:t>
          </a:r>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110153</xdr:colOff>
      <xdr:row>16</xdr:row>
      <xdr:rowOff>77755</xdr:rowOff>
    </xdr:from>
    <xdr:ext cx="8729997" cy="1716881"/>
    <xdr:sp macro="" textlink="">
      <xdr:nvSpPr>
        <xdr:cNvPr id="2" name="TextBox 1">
          <a:extLst>
            <a:ext uri="{FF2B5EF4-FFF2-40B4-BE49-F238E27FC236}">
              <a16:creationId xmlns:a16="http://schemas.microsoft.com/office/drawing/2014/main" id="{976AA9F1-2B6F-4B93-A67F-A393BE65CF68}"/>
            </a:ext>
          </a:extLst>
        </xdr:cNvPr>
        <xdr:cNvSpPr txBox="1"/>
      </xdr:nvSpPr>
      <xdr:spPr>
        <a:xfrm>
          <a:off x="110153" y="4334847"/>
          <a:ext cx="8729997" cy="1716881"/>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Efficiency &amp; Working Capital Analysis:</a:t>
          </a:r>
          <a:br>
            <a:rPr lang="en-IN"/>
          </a:br>
          <a:r>
            <a:rPr lang="en-IN"/>
            <a:t>Debtor days exhibited a </a:t>
          </a:r>
          <a:r>
            <a:rPr lang="en-IN" b="1"/>
            <a:t>gradual upward trend</a:t>
          </a:r>
          <a:r>
            <a:rPr lang="en-IN"/>
            <a:t> over the analysis period, reflecting extended client payment cycles commonly associated with large, long-term IT service contracts. Despite this increase, Infosys continued to generate </a:t>
          </a:r>
          <a:r>
            <a:rPr lang="en-IN" b="1"/>
            <a:t>strong operating cash flows</a:t>
          </a:r>
          <a:r>
            <a:rPr lang="en-IN"/>
            <a:t>, indicating effective receivables management and timely cash conversion.</a:t>
          </a:r>
        </a:p>
        <a:p>
          <a:r>
            <a:rPr lang="en-IN"/>
            <a:t>Inventory days were </a:t>
          </a:r>
          <a:r>
            <a:rPr lang="en-IN" b="1"/>
            <a:t>not significant</a:t>
          </a:r>
          <a:r>
            <a:rPr lang="en-IN"/>
            <a:t>, as the company operates under a </a:t>
          </a:r>
          <a:r>
            <a:rPr lang="en-IN" b="1"/>
            <a:t>service-based business model</a:t>
          </a:r>
          <a:r>
            <a:rPr lang="en-IN"/>
            <a:t> with minimal inventory requirements, making inventory management largely irrelevant to operational efficiency.</a:t>
          </a:r>
        </a:p>
        <a:p>
          <a:r>
            <a:rPr lang="en-IN"/>
            <a:t>Fixed asset turnover remained </a:t>
          </a:r>
          <a:r>
            <a:rPr lang="en-IN" b="1"/>
            <a:t>stable throughout the period</a:t>
          </a:r>
          <a:r>
            <a:rPr lang="en-IN"/>
            <a:t>, confirming Infosys’s </a:t>
          </a:r>
          <a:r>
            <a:rPr lang="en-IN" b="1"/>
            <a:t>capital-light operating structure</a:t>
          </a:r>
          <a:r>
            <a:rPr lang="en-IN"/>
            <a:t> and efficient utilisation of fixed assets to support revenue growth without heavy capital investment.</a:t>
          </a: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13</xdr:row>
      <xdr:rowOff>194829</xdr:rowOff>
    </xdr:from>
    <xdr:ext cx="8305608" cy="1313565"/>
    <xdr:sp macro="" textlink="">
      <xdr:nvSpPr>
        <xdr:cNvPr id="2" name="TextBox 1">
          <a:extLst>
            <a:ext uri="{FF2B5EF4-FFF2-40B4-BE49-F238E27FC236}">
              <a16:creationId xmlns:a16="http://schemas.microsoft.com/office/drawing/2014/main" id="{99303D15-C194-48DA-B1A8-E4FAD880BD75}"/>
            </a:ext>
          </a:extLst>
        </xdr:cNvPr>
        <xdr:cNvSpPr txBox="1"/>
      </xdr:nvSpPr>
      <xdr:spPr>
        <a:xfrm>
          <a:off x="0" y="3348181"/>
          <a:ext cx="8305608" cy="1313565"/>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Liquidity &amp; Solvency Analysis:</a:t>
          </a:r>
          <a:br>
            <a:rPr lang="en-IN"/>
          </a:br>
          <a:r>
            <a:rPr lang="en-IN"/>
            <a:t>Infosys consistently maintained </a:t>
          </a:r>
          <a:r>
            <a:rPr lang="en-IN" b="1"/>
            <a:t>positive net working capital</a:t>
          </a:r>
          <a:r>
            <a:rPr lang="en-IN"/>
            <a:t> throughout the period under review, reflecting a </a:t>
          </a:r>
          <a:r>
            <a:rPr lang="en-IN" b="1"/>
            <a:t>strong short-term liquidity position</a:t>
          </a:r>
          <a:r>
            <a:rPr lang="en-IN"/>
            <a:t> and the company’s ability to comfortably meet its short-term obligations.</a:t>
          </a:r>
        </a:p>
        <a:p>
          <a:r>
            <a:rPr lang="en-IN"/>
            <a:t>Debt to total capital remained </a:t>
          </a:r>
          <a:r>
            <a:rPr lang="en-IN" b="1"/>
            <a:t>low or negligible for most of the period</a:t>
          </a:r>
          <a:r>
            <a:rPr lang="en-IN"/>
            <a:t>, highlighting a </a:t>
          </a:r>
          <a:r>
            <a:rPr lang="en-IN" b="1"/>
            <a:t>conservative capital structure</a:t>
          </a:r>
          <a:r>
            <a:rPr lang="en-IN"/>
            <a:t>, minimal reliance on external borrowings, and </a:t>
          </a:r>
          <a:r>
            <a:rPr lang="en-IN" b="1"/>
            <a:t>low financial risk</a:t>
          </a:r>
          <a:r>
            <a:rPr lang="en-IN"/>
            <a:t>. This strong balance sheet provides financial flexibility and stability during periods of industry uncertainty.</a:t>
          </a:r>
        </a:p>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7</xdr:row>
      <xdr:rowOff>25556</xdr:rowOff>
    </xdr:from>
    <xdr:ext cx="8795115" cy="7062446"/>
    <xdr:sp macro="" textlink="">
      <xdr:nvSpPr>
        <xdr:cNvPr id="2" name="TextBox 1">
          <a:extLst>
            <a:ext uri="{FF2B5EF4-FFF2-40B4-BE49-F238E27FC236}">
              <a16:creationId xmlns:a16="http://schemas.microsoft.com/office/drawing/2014/main" id="{AABAF735-0849-4DDB-8C2D-FE2EE04266B7}"/>
            </a:ext>
          </a:extLst>
        </xdr:cNvPr>
        <xdr:cNvSpPr txBox="1"/>
      </xdr:nvSpPr>
      <xdr:spPr>
        <a:xfrm>
          <a:off x="0" y="1777280"/>
          <a:ext cx="8795115" cy="7062446"/>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ym typeface="Wingdings" panose="05000000000000000000" pitchFamily="2" charset="2"/>
            </a:rPr>
            <a:t></a:t>
          </a:r>
          <a:r>
            <a:rPr lang="en-IN" sz="1600" b="1">
              <a:sym typeface="Wingdings" panose="05000000000000000000" pitchFamily="2" charset="2"/>
            </a:rPr>
            <a:t> </a:t>
          </a:r>
          <a:r>
            <a:rPr lang="en-IN" sz="1600" b="1"/>
            <a:t>Key Strengths</a:t>
          </a:r>
        </a:p>
        <a:p>
          <a:endParaRPr lang="en-IN" sz="1600" b="1"/>
        </a:p>
        <a:p>
          <a:r>
            <a:rPr lang="en-IN" sz="1400" b="1"/>
            <a:t>Strong and stable operating margins:</a:t>
          </a:r>
          <a:br>
            <a:rPr lang="en-IN" sz="1400"/>
          </a:br>
          <a:r>
            <a:rPr lang="en-IN" sz="1400"/>
            <a:t>Infosys has consistently maintained healthy operating margins over the long term, reflecting effective cost control, operational efficiency, and the scalability of its service delivery model. This margin stability provides resilience during periods of industry volatility.</a:t>
          </a:r>
        </a:p>
        <a:p>
          <a:endParaRPr lang="en-IN" sz="1400"/>
        </a:p>
        <a:p>
          <a:r>
            <a:rPr lang="en-IN" sz="1400" b="1"/>
            <a:t>Capital-light business model with high ROCE:</a:t>
          </a:r>
          <a:br>
            <a:rPr lang="en-IN" sz="1400"/>
          </a:br>
          <a:r>
            <a:rPr lang="en-IN" sz="1400"/>
            <a:t>The company operates with relatively low capital intensity, enabling it to generate high returns on capital employed. Sustained improvement in ROCE highlights efficient utilisation of capital and disciplined investment decisions.</a:t>
          </a:r>
        </a:p>
        <a:p>
          <a:endParaRPr lang="en-IN" sz="1400"/>
        </a:p>
        <a:p>
          <a:r>
            <a:rPr lang="en-IN" sz="1400" b="1"/>
            <a:t>Conservative debt structure:</a:t>
          </a:r>
          <a:br>
            <a:rPr lang="en-IN" sz="1400"/>
          </a:br>
          <a:r>
            <a:rPr lang="en-IN" sz="1400"/>
            <a:t>Infosys maintains a low-debt balance sheet, with debt to total capital remaining minimal for most of the period. This conservative capital structure reduces financial risk and provides flexibility to withstand economic downturns.</a:t>
          </a:r>
        </a:p>
        <a:p>
          <a:endParaRPr lang="en-IN" sz="1400"/>
        </a:p>
        <a:p>
          <a:r>
            <a:rPr lang="en-IN" sz="1400" b="1"/>
            <a:t>Strong cash flow generation:</a:t>
          </a:r>
          <a:br>
            <a:rPr lang="en-IN" sz="1400"/>
          </a:br>
          <a:r>
            <a:rPr lang="en-IN" sz="1400"/>
            <a:t>Operating cash flows consistently exceed reported net profits, indicating high earnings quality and efficient cash conversion. This strengthens liquidity and supports dividends, investments, and long-term growth.</a:t>
          </a:r>
        </a:p>
        <a:p>
          <a:br>
            <a:rPr lang="en-IN" sz="1400"/>
          </a:br>
          <a:endParaRPr lang="en-IN" sz="1400"/>
        </a:p>
        <a:p>
          <a:r>
            <a:rPr lang="en-IN" sz="2000" b="1"/>
            <a:t> </a:t>
          </a:r>
          <a:r>
            <a:rPr lang="en-IN" sz="2000" b="1">
              <a:sym typeface="Wingdings" panose="05000000000000000000" pitchFamily="2" charset="2"/>
            </a:rPr>
            <a:t></a:t>
          </a:r>
          <a:r>
            <a:rPr lang="en-IN" sz="1400" b="1">
              <a:sym typeface="Wingdings" panose="05000000000000000000" pitchFamily="2" charset="2"/>
            </a:rPr>
            <a:t> </a:t>
          </a:r>
          <a:r>
            <a:rPr lang="en-IN" sz="1600" b="1"/>
            <a:t>Key Risks / Observations</a:t>
          </a:r>
        </a:p>
        <a:p>
          <a:endParaRPr lang="en-IN" sz="1600" b="1"/>
        </a:p>
        <a:p>
          <a:r>
            <a:rPr lang="en-IN" sz="1400" b="1"/>
            <a:t>Rising debtor days:</a:t>
          </a:r>
          <a:br>
            <a:rPr lang="en-IN" sz="1400"/>
          </a:br>
          <a:r>
            <a:rPr lang="en-IN" sz="1400"/>
            <a:t>A gradual increase in debtor days indicates extended client payment cycles, which may place pressure on short-term liquidity if not managed effectively. While cash flows remain strong, this trend warrants close monitoring.</a:t>
          </a:r>
        </a:p>
        <a:p>
          <a:endParaRPr lang="en-IN" sz="1400"/>
        </a:p>
        <a:p>
          <a:r>
            <a:rPr lang="en-IN" sz="1400" b="1"/>
            <a:t>Margin pressure in recent years:</a:t>
          </a:r>
          <a:br>
            <a:rPr lang="en-IN" sz="1400"/>
          </a:br>
          <a:r>
            <a:rPr lang="en-IN" sz="1400"/>
            <a:t>Operating and net profit margins have experienced moderation in recent years due to increased competition, wage inflation, and pricing pressures within the IT services industry. Sustaining margins will depend on continued operational efficiency and value-based pricing.</a:t>
          </a:r>
        </a:p>
        <a:p>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44"/>
  <sheetViews>
    <sheetView showGridLines="0" topLeftCell="A8" zoomScale="90" workbookViewId="0">
      <selection activeCell="C15" sqref="C15"/>
    </sheetView>
  </sheetViews>
  <sheetFormatPr defaultRowHeight="14.5" x14ac:dyDescent="0.35"/>
  <cols>
    <col min="1" max="1" width="3" customWidth="1"/>
    <col min="2" max="7" width="24" customWidth="1"/>
    <col min="8" max="8" width="3" customWidth="1"/>
  </cols>
  <sheetData>
    <row r="2" spans="2:7" x14ac:dyDescent="0.35">
      <c r="B2" s="111" t="s">
        <v>0</v>
      </c>
      <c r="C2" s="112"/>
      <c r="D2" s="112"/>
      <c r="E2" s="112"/>
      <c r="F2" s="112"/>
      <c r="G2" s="112"/>
    </row>
    <row r="3" spans="2:7" x14ac:dyDescent="0.35">
      <c r="B3" s="112"/>
      <c r="C3" s="112"/>
      <c r="D3" s="112"/>
      <c r="E3" s="112"/>
      <c r="F3" s="112"/>
      <c r="G3" s="112"/>
    </row>
    <row r="4" spans="2:7" x14ac:dyDescent="0.35">
      <c r="B4" s="112"/>
      <c r="C4" s="112"/>
      <c r="D4" s="112"/>
      <c r="E4" s="112"/>
      <c r="F4" s="112"/>
      <c r="G4" s="112"/>
    </row>
    <row r="5" spans="2:7" ht="16" x14ac:dyDescent="0.35">
      <c r="B5" s="114" t="s">
        <v>1</v>
      </c>
      <c r="C5" s="112"/>
      <c r="D5" s="112"/>
      <c r="E5" s="112"/>
      <c r="F5" s="112"/>
      <c r="G5" s="112"/>
    </row>
    <row r="6" spans="2:7" ht="5" customHeight="1" x14ac:dyDescent="0.35">
      <c r="B6" s="32"/>
      <c r="C6" s="32"/>
      <c r="D6" s="32"/>
      <c r="E6" s="32"/>
      <c r="F6" s="32"/>
      <c r="G6" s="32"/>
    </row>
    <row r="8" spans="2:7" x14ac:dyDescent="0.35">
      <c r="B8" s="113" t="s">
        <v>2</v>
      </c>
      <c r="C8" s="102"/>
      <c r="D8" s="102"/>
      <c r="E8" s="110" t="s">
        <v>3</v>
      </c>
      <c r="F8" s="102"/>
      <c r="G8" s="102"/>
    </row>
    <row r="9" spans="2:7" x14ac:dyDescent="0.35">
      <c r="B9" s="103" t="s">
        <v>4</v>
      </c>
      <c r="C9" s="105" t="s">
        <v>5</v>
      </c>
      <c r="D9" s="102"/>
      <c r="E9" s="105" t="s">
        <v>6</v>
      </c>
      <c r="F9" s="102"/>
      <c r="G9" s="102"/>
    </row>
    <row r="10" spans="2:7" x14ac:dyDescent="0.35">
      <c r="B10" s="103" t="s">
        <v>7</v>
      </c>
      <c r="C10" s="105" t="s">
        <v>8</v>
      </c>
      <c r="D10" s="102"/>
      <c r="E10" s="105" t="s">
        <v>9</v>
      </c>
      <c r="F10" s="102"/>
      <c r="G10" s="102"/>
    </row>
    <row r="11" spans="2:7" x14ac:dyDescent="0.35">
      <c r="B11" s="103" t="s">
        <v>10</v>
      </c>
      <c r="C11" s="105" t="s">
        <v>11</v>
      </c>
      <c r="D11" s="102"/>
      <c r="E11" s="105" t="s">
        <v>12</v>
      </c>
      <c r="F11" s="102"/>
      <c r="G11" s="102"/>
    </row>
    <row r="12" spans="2:7" x14ac:dyDescent="0.35">
      <c r="B12" s="103" t="s">
        <v>13</v>
      </c>
      <c r="C12" s="105" t="s">
        <v>14</v>
      </c>
      <c r="D12" s="102"/>
      <c r="E12" s="105" t="s">
        <v>15</v>
      </c>
      <c r="F12" s="102"/>
      <c r="G12" s="102"/>
    </row>
    <row r="13" spans="2:7" x14ac:dyDescent="0.35">
      <c r="B13" s="103" t="s">
        <v>16</v>
      </c>
      <c r="C13" s="105" t="s">
        <v>17</v>
      </c>
      <c r="D13" s="102"/>
      <c r="E13" s="105" t="s">
        <v>18</v>
      </c>
      <c r="F13" s="102"/>
      <c r="G13" s="102"/>
    </row>
    <row r="14" spans="2:7" x14ac:dyDescent="0.35">
      <c r="B14" s="103" t="s">
        <v>19</v>
      </c>
      <c r="C14" s="105" t="s">
        <v>280</v>
      </c>
      <c r="D14" s="102"/>
      <c r="E14" s="105" t="s">
        <v>20</v>
      </c>
      <c r="F14" s="102"/>
      <c r="G14" s="102"/>
    </row>
    <row r="15" spans="2:7" x14ac:dyDescent="0.35">
      <c r="E15" s="105" t="s">
        <v>21</v>
      </c>
      <c r="F15" s="102"/>
      <c r="G15" s="102"/>
    </row>
    <row r="16" spans="2:7" x14ac:dyDescent="0.35">
      <c r="E16" s="105" t="s">
        <v>22</v>
      </c>
      <c r="F16" s="102"/>
      <c r="G16" s="102"/>
    </row>
    <row r="18" spans="2:7" x14ac:dyDescent="0.35">
      <c r="B18" s="106" t="s">
        <v>23</v>
      </c>
      <c r="C18" s="102"/>
      <c r="D18" s="102"/>
      <c r="E18" s="102"/>
      <c r="F18" s="102"/>
      <c r="G18" s="102"/>
    </row>
    <row r="19" spans="2:7" ht="22" customHeight="1" x14ac:dyDescent="0.35">
      <c r="B19" s="108" t="s">
        <v>24</v>
      </c>
      <c r="C19" s="109"/>
      <c r="D19" s="109"/>
      <c r="E19" s="109"/>
      <c r="F19" s="109"/>
      <c r="G19" s="109"/>
    </row>
    <row r="20" spans="2:7" ht="22" customHeight="1" x14ac:dyDescent="0.35">
      <c r="B20" s="109"/>
      <c r="C20" s="109"/>
      <c r="D20" s="109"/>
      <c r="E20" s="109"/>
      <c r="F20" s="109"/>
      <c r="G20" s="109"/>
    </row>
    <row r="21" spans="2:7" ht="22" customHeight="1" x14ac:dyDescent="0.35">
      <c r="B21" s="102"/>
      <c r="C21" s="102"/>
      <c r="D21" s="102"/>
      <c r="E21" s="102"/>
      <c r="F21" s="102"/>
      <c r="G21" s="102"/>
    </row>
    <row r="23" spans="2:7" x14ac:dyDescent="0.35">
      <c r="B23" s="113" t="s">
        <v>25</v>
      </c>
      <c r="C23" s="102"/>
      <c r="D23" s="102"/>
      <c r="E23" s="110" t="s">
        <v>26</v>
      </c>
      <c r="F23" s="102"/>
      <c r="G23" s="102"/>
    </row>
    <row r="24" spans="2:7" x14ac:dyDescent="0.35">
      <c r="B24" s="105" t="s">
        <v>27</v>
      </c>
      <c r="C24" s="102"/>
      <c r="D24" s="102"/>
      <c r="E24" s="105" t="s">
        <v>28</v>
      </c>
      <c r="F24" s="102"/>
      <c r="G24" s="102"/>
    </row>
    <row r="25" spans="2:7" x14ac:dyDescent="0.35">
      <c r="B25" s="105" t="s">
        <v>29</v>
      </c>
      <c r="C25" s="102"/>
      <c r="D25" s="102"/>
      <c r="E25" s="105" t="s">
        <v>30</v>
      </c>
      <c r="F25" s="102"/>
      <c r="G25" s="102"/>
    </row>
    <row r="26" spans="2:7" x14ac:dyDescent="0.35">
      <c r="B26" s="105" t="s">
        <v>31</v>
      </c>
      <c r="C26" s="102"/>
      <c r="D26" s="102"/>
      <c r="E26" s="105" t="s">
        <v>32</v>
      </c>
      <c r="F26" s="102"/>
      <c r="G26" s="102"/>
    </row>
    <row r="27" spans="2:7" x14ac:dyDescent="0.35">
      <c r="B27" s="105" t="s">
        <v>33</v>
      </c>
      <c r="C27" s="102"/>
      <c r="D27" s="102"/>
      <c r="E27" s="105" t="s">
        <v>34</v>
      </c>
      <c r="F27" s="102"/>
      <c r="G27" s="102"/>
    </row>
    <row r="28" spans="2:7" x14ac:dyDescent="0.35">
      <c r="B28" s="105" t="s">
        <v>35</v>
      </c>
      <c r="C28" s="102"/>
      <c r="D28" s="102"/>
      <c r="E28" s="105" t="s">
        <v>22</v>
      </c>
      <c r="F28" s="102"/>
      <c r="G28" s="102"/>
    </row>
    <row r="29" spans="2:7" x14ac:dyDescent="0.35">
      <c r="B29" s="105" t="s">
        <v>36</v>
      </c>
      <c r="C29" s="102"/>
      <c r="D29" s="102"/>
      <c r="E29" s="105" t="s">
        <v>37</v>
      </c>
      <c r="F29" s="102"/>
      <c r="G29" s="102"/>
    </row>
    <row r="31" spans="2:7" x14ac:dyDescent="0.35">
      <c r="B31" s="106" t="s">
        <v>38</v>
      </c>
      <c r="C31" s="102"/>
      <c r="D31" s="102"/>
      <c r="E31" s="102"/>
      <c r="F31" s="102"/>
      <c r="G31" s="102"/>
    </row>
    <row r="32" spans="2:7" x14ac:dyDescent="0.35">
      <c r="B32" s="101" t="s">
        <v>39</v>
      </c>
      <c r="C32" s="102"/>
      <c r="D32" s="104" t="s">
        <v>40</v>
      </c>
      <c r="E32" s="102"/>
      <c r="F32" s="102"/>
      <c r="G32" s="102"/>
    </row>
    <row r="33" spans="2:7" x14ac:dyDescent="0.35">
      <c r="B33" s="101" t="s">
        <v>41</v>
      </c>
      <c r="C33" s="102"/>
      <c r="D33" s="104" t="s">
        <v>42</v>
      </c>
      <c r="E33" s="102"/>
      <c r="F33" s="102"/>
      <c r="G33" s="102"/>
    </row>
    <row r="34" spans="2:7" x14ac:dyDescent="0.35">
      <c r="B34" s="101" t="s">
        <v>43</v>
      </c>
      <c r="C34" s="102"/>
      <c r="D34" s="104" t="s">
        <v>44</v>
      </c>
      <c r="E34" s="102"/>
      <c r="F34" s="102"/>
      <c r="G34" s="102"/>
    </row>
    <row r="35" spans="2:7" x14ac:dyDescent="0.35">
      <c r="B35" s="101" t="s">
        <v>45</v>
      </c>
      <c r="C35" s="102"/>
      <c r="D35" s="104" t="s">
        <v>46</v>
      </c>
      <c r="E35" s="102"/>
      <c r="F35" s="102"/>
      <c r="G35" s="102"/>
    </row>
    <row r="36" spans="2:7" x14ac:dyDescent="0.35">
      <c r="B36" s="101" t="s">
        <v>47</v>
      </c>
      <c r="C36" s="102"/>
      <c r="D36" s="104" t="s">
        <v>48</v>
      </c>
      <c r="E36" s="102"/>
      <c r="F36" s="102"/>
      <c r="G36" s="102"/>
    </row>
    <row r="37" spans="2:7" x14ac:dyDescent="0.35">
      <c r="B37" s="101" t="s">
        <v>49</v>
      </c>
      <c r="C37" s="102"/>
      <c r="D37" s="104" t="s">
        <v>50</v>
      </c>
      <c r="E37" s="102"/>
      <c r="F37" s="102"/>
      <c r="G37" s="102"/>
    </row>
    <row r="38" spans="2:7" x14ac:dyDescent="0.35">
      <c r="B38" s="101" t="s">
        <v>51</v>
      </c>
      <c r="C38" s="102"/>
      <c r="D38" s="104" t="s">
        <v>52</v>
      </c>
      <c r="E38" s="102"/>
      <c r="F38" s="102"/>
      <c r="G38" s="102"/>
    </row>
    <row r="39" spans="2:7" x14ac:dyDescent="0.35">
      <c r="B39" s="101" t="s">
        <v>53</v>
      </c>
      <c r="C39" s="102"/>
      <c r="D39" s="104" t="s">
        <v>54</v>
      </c>
      <c r="E39" s="102"/>
      <c r="F39" s="102"/>
      <c r="G39" s="102"/>
    </row>
    <row r="40" spans="2:7" x14ac:dyDescent="0.35">
      <c r="B40" s="101" t="s">
        <v>55</v>
      </c>
      <c r="C40" s="102"/>
      <c r="D40" s="104" t="s">
        <v>56</v>
      </c>
      <c r="E40" s="102"/>
      <c r="F40" s="102"/>
      <c r="G40" s="102"/>
    </row>
    <row r="41" spans="2:7" x14ac:dyDescent="0.35">
      <c r="B41" s="101" t="s">
        <v>57</v>
      </c>
      <c r="C41" s="102"/>
      <c r="D41" s="104" t="s">
        <v>58</v>
      </c>
      <c r="E41" s="102"/>
      <c r="F41" s="102"/>
      <c r="G41" s="102"/>
    </row>
    <row r="42" spans="2:7" x14ac:dyDescent="0.35">
      <c r="B42" s="101" t="s">
        <v>59</v>
      </c>
      <c r="C42" s="102"/>
      <c r="D42" s="104" t="s">
        <v>60</v>
      </c>
      <c r="E42" s="102"/>
      <c r="F42" s="102"/>
      <c r="G42" s="102"/>
    </row>
    <row r="44" spans="2:7" ht="28" customHeight="1" x14ac:dyDescent="0.35">
      <c r="B44" s="107" t="s">
        <v>61</v>
      </c>
      <c r="C44" s="102"/>
      <c r="D44" s="102"/>
      <c r="E44" s="102"/>
      <c r="F44" s="102"/>
      <c r="G44" s="102"/>
    </row>
  </sheetData>
  <mergeCells count="64">
    <mergeCell ref="B2:G4"/>
    <mergeCell ref="B23:D23"/>
    <mergeCell ref="B5:G5"/>
    <mergeCell ref="B11"/>
    <mergeCell ref="B26:D26"/>
    <mergeCell ref="E12:G12"/>
    <mergeCell ref="E8:G8"/>
    <mergeCell ref="B10"/>
    <mergeCell ref="B8:D8"/>
    <mergeCell ref="C14:D14"/>
    <mergeCell ref="E9:G9"/>
    <mergeCell ref="C13:D13"/>
    <mergeCell ref="B18:G18"/>
    <mergeCell ref="E13:G13"/>
    <mergeCell ref="B25:D25"/>
    <mergeCell ref="B13"/>
    <mergeCell ref="E14:G14"/>
    <mergeCell ref="E23:G23"/>
    <mergeCell ref="C10:D10"/>
    <mergeCell ref="E11:G11"/>
    <mergeCell ref="C9:D9"/>
    <mergeCell ref="C12:D12"/>
    <mergeCell ref="B12"/>
    <mergeCell ref="C11:D11"/>
    <mergeCell ref="E10:G10"/>
    <mergeCell ref="B9"/>
    <mergeCell ref="B44:G44"/>
    <mergeCell ref="E15:G15"/>
    <mergeCell ref="D38:G38"/>
    <mergeCell ref="B39:C39"/>
    <mergeCell ref="B28:D28"/>
    <mergeCell ref="B19:G21"/>
    <mergeCell ref="E27:G27"/>
    <mergeCell ref="D35:G35"/>
    <mergeCell ref="B42:C42"/>
    <mergeCell ref="E26:G26"/>
    <mergeCell ref="D34:G34"/>
    <mergeCell ref="B24:D24"/>
    <mergeCell ref="E25:G25"/>
    <mergeCell ref="E16:G16"/>
    <mergeCell ref="D40:G40"/>
    <mergeCell ref="D39:G39"/>
    <mergeCell ref="D42:G42"/>
    <mergeCell ref="B38:C38"/>
    <mergeCell ref="D36:G36"/>
    <mergeCell ref="B34:C34"/>
    <mergeCell ref="B37:C37"/>
    <mergeCell ref="D41:G41"/>
    <mergeCell ref="B36:C36"/>
    <mergeCell ref="B41:C41"/>
    <mergeCell ref="B35:C35"/>
    <mergeCell ref="B40:C40"/>
    <mergeCell ref="B14"/>
    <mergeCell ref="D37:G37"/>
    <mergeCell ref="D32:G32"/>
    <mergeCell ref="E24:G24"/>
    <mergeCell ref="B33:C33"/>
    <mergeCell ref="B31:G31"/>
    <mergeCell ref="B27:D27"/>
    <mergeCell ref="B32:C32"/>
    <mergeCell ref="E29:G29"/>
    <mergeCell ref="D33:G33"/>
    <mergeCell ref="B29:D29"/>
    <mergeCell ref="E28:G28"/>
  </mergeCells>
  <hyperlinks>
    <hyperlink ref="B32" location="'Name &amp; Details'!A1" display="Name &amp; Details" xr:uid="{00000000-0004-0000-0000-000000000000}"/>
    <hyperlink ref="B33" location="'OBJECTIVE &amp; METHODOLOGY'!A1" display="OBJECTIVE &amp; METHODOLOGY" xr:uid="{00000000-0004-0000-0000-000001000000}"/>
    <hyperlink ref="B34" location="'Profit &amp; Loss'!A1" display="Profit &amp; Loss" xr:uid="{00000000-0004-0000-0000-000002000000}"/>
    <hyperlink ref="B35" location="'Cash Flow Statement'!A1" display="Cash Flow Statement" xr:uid="{00000000-0004-0000-0000-000003000000}"/>
    <hyperlink ref="B36" location="'Balance sheet'!A1" display="Balance sheet" xr:uid="{00000000-0004-0000-0000-000004000000}"/>
    <hyperlink ref="B37" location="'Ratios Cal &amp; Analysis'!A1" display="Ratios Cal &amp; Analysis" xr:uid="{00000000-0004-0000-0000-000005000000}"/>
    <hyperlink ref="B38" location="'Dashboard'!A1" display="Dashboard" xr:uid="{00000000-0004-0000-0000-000006000000}"/>
    <hyperlink ref="B39" location="'Profitability Analysis'!A1" display="Profitability Analysis" xr:uid="{00000000-0004-0000-0000-000007000000}"/>
    <hyperlink ref="B40" location="'Efficiency &amp; Working Capital An'!A1" display="Efficiency &amp; Working Capital An" xr:uid="{00000000-0004-0000-0000-000008000000}"/>
    <hyperlink ref="B41" location="'Liquidity &amp; Solvency Analysis'!A1" display="Liquidity &amp; Solvency Analysis" xr:uid="{00000000-0004-0000-0000-000009000000}"/>
    <hyperlink ref="B42" location="'Investment &amp; Financial Conclusi'!A1" display="Investment &amp; Financial Conclusi" xr:uid="{00000000-0004-0000-0000-00000A000000}"/>
  </hyperlinks>
  <pageMargins left="0.35" right="0.35" top="0.4" bottom="0.4" header="0.15" footer="0.15"/>
  <pageSetup scale="69" orientation="portrait" r:id="rId1"/>
  <headerFooter>
    <oddFooter>&amp;C&amp;"Aptos"&amp;8 Infosys Ltd Financial Analysis | FY2014–FY2025&amp;RPage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5"/>
  <sheetViews>
    <sheetView showGridLines="0" tabSelected="1" zoomScale="64" zoomScaleNormal="53" workbookViewId="0">
      <selection activeCell="L10" sqref="L10"/>
    </sheetView>
  </sheetViews>
  <sheetFormatPr defaultRowHeight="14.5" x14ac:dyDescent="0.35"/>
  <cols>
    <col min="1" max="1" width="3" customWidth="1"/>
    <col min="2" max="2" width="25" customWidth="1"/>
    <col min="3" max="3" width="42" customWidth="1"/>
    <col min="4" max="7" width="18" customWidth="1"/>
    <col min="8" max="8" width="3" customWidth="1"/>
    <col min="9" max="24" width="10" customWidth="1"/>
  </cols>
  <sheetData>
    <row r="1" spans="1:14" ht="34" customHeight="1" x14ac:dyDescent="0.35">
      <c r="A1" s="74"/>
      <c r="B1" s="115" t="s">
        <v>62</v>
      </c>
      <c r="C1" s="112"/>
      <c r="D1" s="112"/>
      <c r="E1" s="112"/>
      <c r="F1" s="112"/>
      <c r="G1" s="112"/>
      <c r="H1" s="74"/>
      <c r="I1" s="74"/>
      <c r="J1" s="74"/>
      <c r="K1" s="74"/>
      <c r="L1" s="74"/>
      <c r="M1" s="74"/>
      <c r="N1" s="74"/>
    </row>
    <row r="2" spans="1:14" ht="24" customHeight="1" x14ac:dyDescent="0.35">
      <c r="A2" s="74"/>
      <c r="B2" s="123" t="s">
        <v>63</v>
      </c>
      <c r="C2" s="112"/>
      <c r="D2" s="112"/>
      <c r="E2" s="112"/>
      <c r="F2" s="112"/>
      <c r="G2" s="112"/>
      <c r="H2" s="74"/>
      <c r="I2" s="74"/>
      <c r="J2" s="74"/>
      <c r="K2" s="74"/>
      <c r="L2" s="74"/>
      <c r="M2" s="74"/>
      <c r="N2" s="74"/>
    </row>
    <row r="3" spans="1:14" ht="20" customHeight="1" x14ac:dyDescent="0.35">
      <c r="A3" s="74"/>
      <c r="B3" s="74"/>
      <c r="C3" s="74"/>
      <c r="D3" s="74"/>
      <c r="E3" s="74"/>
      <c r="F3" s="74"/>
      <c r="G3" s="74"/>
      <c r="H3" s="74"/>
      <c r="I3" s="74"/>
      <c r="J3" s="74"/>
      <c r="K3" s="74"/>
      <c r="L3" s="74"/>
      <c r="M3" s="74"/>
      <c r="N3" s="74"/>
    </row>
    <row r="4" spans="1:14" ht="20" customHeight="1" x14ac:dyDescent="0.35">
      <c r="A4" s="74"/>
      <c r="B4" s="116" t="s">
        <v>64</v>
      </c>
      <c r="C4" s="109"/>
      <c r="D4" s="109"/>
      <c r="E4" s="109"/>
      <c r="F4" s="109"/>
      <c r="G4" s="109"/>
      <c r="H4" s="74"/>
      <c r="I4" s="74"/>
      <c r="J4" s="74"/>
      <c r="K4" s="74"/>
      <c r="L4" s="74"/>
      <c r="M4" s="74"/>
      <c r="N4" s="74"/>
    </row>
    <row r="5" spans="1:14" ht="26" customHeight="1" x14ac:dyDescent="0.35">
      <c r="A5" s="74"/>
      <c r="B5" s="74"/>
      <c r="C5" s="74"/>
      <c r="D5" s="74"/>
      <c r="E5" s="74"/>
      <c r="F5" s="74"/>
      <c r="G5" s="74"/>
      <c r="H5" s="74"/>
      <c r="I5" s="74"/>
      <c r="J5" s="74"/>
      <c r="K5" s="74"/>
      <c r="L5" s="74"/>
      <c r="M5" s="74"/>
      <c r="N5" s="74"/>
    </row>
    <row r="6" spans="1:14" ht="20" customHeight="1" x14ac:dyDescent="0.35">
      <c r="A6" s="74"/>
      <c r="B6" s="75" t="s">
        <v>65</v>
      </c>
      <c r="C6" s="118" t="s">
        <v>66</v>
      </c>
      <c r="D6" s="119"/>
      <c r="E6" s="119"/>
      <c r="F6" s="119"/>
      <c r="G6" s="119"/>
      <c r="H6" s="74"/>
      <c r="I6" s="74"/>
      <c r="J6" s="74"/>
      <c r="K6" s="74"/>
      <c r="L6" s="74"/>
      <c r="M6" s="74"/>
      <c r="N6" s="74"/>
    </row>
    <row r="7" spans="1:14" ht="20" customHeight="1" x14ac:dyDescent="0.35">
      <c r="A7" s="74"/>
      <c r="B7" s="75" t="s">
        <v>7</v>
      </c>
      <c r="C7" s="118" t="s">
        <v>67</v>
      </c>
      <c r="D7" s="119"/>
      <c r="E7" s="119"/>
      <c r="F7" s="119"/>
      <c r="G7" s="119"/>
      <c r="H7" s="74"/>
      <c r="I7" s="74"/>
      <c r="J7" s="74"/>
      <c r="K7" s="74"/>
      <c r="L7" s="74"/>
      <c r="M7" s="74"/>
      <c r="N7" s="74"/>
    </row>
    <row r="8" spans="1:14" ht="20" customHeight="1" x14ac:dyDescent="0.35">
      <c r="A8" s="74"/>
      <c r="B8" s="75" t="s">
        <v>10</v>
      </c>
      <c r="C8" s="118" t="s">
        <v>11</v>
      </c>
      <c r="D8" s="119"/>
      <c r="E8" s="119"/>
      <c r="F8" s="119"/>
      <c r="G8" s="119"/>
      <c r="H8" s="74"/>
      <c r="I8" s="74"/>
      <c r="J8" s="74"/>
      <c r="K8" s="74"/>
      <c r="L8" s="74"/>
      <c r="M8" s="74"/>
      <c r="N8" s="74"/>
    </row>
    <row r="9" spans="1:14" ht="20" customHeight="1" x14ac:dyDescent="0.35">
      <c r="A9" s="74"/>
      <c r="B9" s="75" t="s">
        <v>68</v>
      </c>
      <c r="C9" s="118" t="s">
        <v>69</v>
      </c>
      <c r="D9" s="119"/>
      <c r="E9" s="119"/>
      <c r="F9" s="119"/>
      <c r="G9" s="119"/>
      <c r="H9" s="74"/>
      <c r="I9" s="74"/>
      <c r="J9" s="74"/>
      <c r="K9" s="74"/>
      <c r="L9" s="74"/>
      <c r="M9" s="74"/>
      <c r="N9" s="74"/>
    </row>
    <row r="10" spans="1:14" ht="20" customHeight="1" x14ac:dyDescent="0.35">
      <c r="A10" s="74"/>
      <c r="B10" s="75" t="s">
        <v>70</v>
      </c>
      <c r="C10" s="118" t="s">
        <v>71</v>
      </c>
      <c r="D10" s="119"/>
      <c r="E10" s="119"/>
      <c r="F10" s="119"/>
      <c r="G10" s="119"/>
      <c r="H10" s="74"/>
      <c r="I10" s="74"/>
      <c r="J10" s="74"/>
      <c r="K10" s="74"/>
      <c r="L10" s="74"/>
      <c r="M10" s="74"/>
      <c r="N10" s="74"/>
    </row>
    <row r="11" spans="1:14" ht="20" customHeight="1" x14ac:dyDescent="0.35">
      <c r="A11" s="74"/>
      <c r="B11" s="75" t="s">
        <v>72</v>
      </c>
      <c r="C11" s="118" t="s">
        <v>270</v>
      </c>
      <c r="D11" s="119"/>
      <c r="E11" s="119"/>
      <c r="F11" s="119"/>
      <c r="G11" s="119"/>
      <c r="H11" s="74"/>
      <c r="I11" s="74"/>
      <c r="J11" s="74"/>
      <c r="K11" s="74"/>
      <c r="L11" s="74"/>
      <c r="M11" s="74"/>
      <c r="N11" s="74"/>
    </row>
    <row r="12" spans="1:14" ht="20" customHeight="1" x14ac:dyDescent="0.35">
      <c r="A12" s="74"/>
      <c r="B12" s="75" t="s">
        <v>73</v>
      </c>
      <c r="C12" s="118" t="s">
        <v>74</v>
      </c>
      <c r="D12" s="119"/>
      <c r="E12" s="119"/>
      <c r="F12" s="119"/>
      <c r="G12" s="119"/>
      <c r="H12" s="74"/>
      <c r="I12" s="74"/>
      <c r="J12" s="74"/>
      <c r="K12" s="74"/>
      <c r="L12" s="74"/>
      <c r="M12" s="74"/>
      <c r="N12" s="74"/>
    </row>
    <row r="13" spans="1:14" ht="20" customHeight="1" x14ac:dyDescent="0.35">
      <c r="A13" s="74"/>
      <c r="B13" s="74"/>
      <c r="C13" s="74"/>
      <c r="D13" s="74"/>
      <c r="E13" s="74"/>
      <c r="F13" s="74"/>
      <c r="G13" s="74"/>
      <c r="H13" s="74"/>
      <c r="I13" s="74"/>
      <c r="J13" s="74"/>
      <c r="K13" s="74"/>
      <c r="L13" s="74"/>
      <c r="M13" s="74"/>
      <c r="N13" s="74"/>
    </row>
    <row r="14" spans="1:14" ht="20" customHeight="1" x14ac:dyDescent="0.35">
      <c r="A14" s="74"/>
      <c r="B14" s="74"/>
      <c r="C14" s="74"/>
      <c r="D14" s="74"/>
      <c r="E14" s="74"/>
      <c r="F14" s="74"/>
      <c r="G14" s="74"/>
      <c r="H14" s="74"/>
      <c r="I14" s="74"/>
      <c r="J14" s="74"/>
      <c r="K14" s="74"/>
      <c r="L14" s="74"/>
      <c r="M14" s="74"/>
      <c r="N14" s="74"/>
    </row>
    <row r="15" spans="1:14" ht="20" customHeight="1" x14ac:dyDescent="0.35">
      <c r="A15" s="74"/>
      <c r="B15" s="116" t="s">
        <v>75</v>
      </c>
      <c r="C15" s="109"/>
      <c r="D15" s="109"/>
      <c r="E15" s="109"/>
      <c r="F15" s="109"/>
      <c r="G15" s="109"/>
      <c r="H15" s="74"/>
      <c r="I15" s="74"/>
      <c r="J15" s="74"/>
      <c r="K15" s="74"/>
      <c r="L15" s="74"/>
      <c r="M15" s="74"/>
      <c r="N15" s="74"/>
    </row>
    <row r="16" spans="1:14" ht="20" customHeight="1" x14ac:dyDescent="0.35">
      <c r="A16" s="74"/>
      <c r="B16" s="121" t="s">
        <v>76</v>
      </c>
      <c r="C16" s="122"/>
      <c r="D16" s="122"/>
      <c r="E16" s="122"/>
      <c r="F16" s="122"/>
      <c r="G16" s="122"/>
      <c r="H16" s="74"/>
      <c r="I16" s="74"/>
      <c r="J16" s="74"/>
      <c r="K16" s="74"/>
      <c r="L16" s="74"/>
      <c r="M16" s="74"/>
      <c r="N16" s="74"/>
    </row>
    <row r="17" spans="1:14" ht="20" customHeight="1" x14ac:dyDescent="0.35">
      <c r="A17" s="74"/>
      <c r="B17" s="122"/>
      <c r="C17" s="122"/>
      <c r="D17" s="122"/>
      <c r="E17" s="122"/>
      <c r="F17" s="122"/>
      <c r="G17" s="122"/>
      <c r="H17" s="74"/>
      <c r="I17" s="74"/>
      <c r="J17" s="74"/>
      <c r="K17" s="74"/>
      <c r="L17" s="74"/>
      <c r="M17" s="74"/>
      <c r="N17" s="74"/>
    </row>
    <row r="18" spans="1:14" ht="20" customHeight="1" x14ac:dyDescent="0.35">
      <c r="A18" s="74"/>
      <c r="B18" s="122"/>
      <c r="C18" s="122"/>
      <c r="D18" s="122"/>
      <c r="E18" s="122"/>
      <c r="F18" s="122"/>
      <c r="G18" s="122"/>
      <c r="H18" s="74"/>
      <c r="I18" s="74"/>
      <c r="J18" s="74"/>
      <c r="K18" s="74"/>
      <c r="L18" s="74"/>
      <c r="M18" s="74"/>
      <c r="N18" s="74"/>
    </row>
    <row r="19" spans="1:14" ht="20" customHeight="1" x14ac:dyDescent="0.35">
      <c r="A19" s="74"/>
      <c r="B19" s="74"/>
      <c r="C19" s="74"/>
      <c r="D19" s="74"/>
      <c r="E19" s="74"/>
      <c r="F19" s="74"/>
      <c r="G19" s="74"/>
      <c r="H19" s="74"/>
      <c r="I19" s="74"/>
      <c r="J19" s="74"/>
      <c r="K19" s="74"/>
      <c r="L19" s="74"/>
      <c r="M19" s="74"/>
      <c r="N19" s="74"/>
    </row>
    <row r="20" spans="1:14" ht="20" customHeight="1" x14ac:dyDescent="0.35">
      <c r="A20" s="74"/>
      <c r="B20" s="116" t="s">
        <v>77</v>
      </c>
      <c r="C20" s="109"/>
      <c r="D20" s="109"/>
      <c r="E20" s="109"/>
      <c r="F20" s="109"/>
      <c r="G20" s="109"/>
      <c r="H20" s="74"/>
      <c r="I20" s="74"/>
      <c r="J20" s="74"/>
      <c r="K20" s="74"/>
      <c r="L20" s="74"/>
      <c r="M20" s="74"/>
      <c r="N20" s="74"/>
    </row>
    <row r="21" spans="1:14" ht="20" customHeight="1" x14ac:dyDescent="0.35">
      <c r="A21" s="74"/>
      <c r="B21" s="76" t="s">
        <v>271</v>
      </c>
      <c r="C21" s="76"/>
      <c r="D21" s="76"/>
      <c r="E21" s="76"/>
      <c r="F21" s="76"/>
      <c r="G21" s="76"/>
      <c r="H21" s="74"/>
      <c r="I21" s="74"/>
      <c r="J21" s="74"/>
      <c r="K21" s="74"/>
      <c r="L21" s="74"/>
      <c r="M21" s="74"/>
      <c r="N21" s="74"/>
    </row>
    <row r="22" spans="1:14" ht="20" customHeight="1" x14ac:dyDescent="0.35">
      <c r="A22" s="74"/>
      <c r="B22" s="99" t="s">
        <v>272</v>
      </c>
      <c r="C22" s="99"/>
      <c r="D22" s="99"/>
      <c r="E22" s="99"/>
      <c r="F22" s="99"/>
      <c r="G22" s="99"/>
      <c r="H22" s="74"/>
      <c r="I22" s="74"/>
      <c r="J22" s="74"/>
      <c r="K22" s="74"/>
      <c r="L22" s="74"/>
      <c r="M22" s="74"/>
      <c r="N22" s="74"/>
    </row>
    <row r="23" spans="1:14" ht="20" customHeight="1" x14ac:dyDescent="0.35">
      <c r="A23" s="74"/>
      <c r="B23" s="99" t="s">
        <v>273</v>
      </c>
      <c r="C23" s="99"/>
      <c r="D23" s="99"/>
      <c r="E23" s="99"/>
      <c r="F23" s="99"/>
      <c r="G23" s="99"/>
      <c r="H23" s="74"/>
      <c r="I23" s="74"/>
      <c r="J23" s="74"/>
      <c r="K23" s="74"/>
      <c r="L23" s="74"/>
      <c r="M23" s="74"/>
      <c r="N23" s="74"/>
    </row>
    <row r="24" spans="1:14" ht="20" customHeight="1" x14ac:dyDescent="0.35">
      <c r="A24" s="74"/>
      <c r="B24" s="99" t="s">
        <v>274</v>
      </c>
      <c r="C24" s="99"/>
      <c r="D24" s="99"/>
      <c r="E24" s="99"/>
      <c r="F24" s="99"/>
      <c r="G24" s="99"/>
      <c r="H24" s="74"/>
      <c r="I24" s="74"/>
      <c r="J24" s="74"/>
      <c r="K24" s="74"/>
      <c r="L24" s="74"/>
      <c r="M24" s="74"/>
      <c r="N24" s="74"/>
    </row>
    <row r="25" spans="1:14" ht="20" customHeight="1" x14ac:dyDescent="0.35">
      <c r="A25" s="74"/>
      <c r="B25" s="99" t="s">
        <v>275</v>
      </c>
      <c r="C25" s="99"/>
      <c r="D25" s="99"/>
      <c r="E25" s="99"/>
      <c r="F25" s="99"/>
      <c r="G25" s="99"/>
      <c r="H25" s="74"/>
      <c r="I25" s="74"/>
      <c r="J25" s="74"/>
      <c r="K25" s="74"/>
      <c r="L25" s="74"/>
      <c r="M25" s="74"/>
      <c r="N25" s="74"/>
    </row>
    <row r="26" spans="1:14" ht="20" customHeight="1" x14ac:dyDescent="0.35">
      <c r="A26" s="74"/>
      <c r="B26" s="99" t="s">
        <v>276</v>
      </c>
      <c r="C26" s="99"/>
      <c r="D26" s="99"/>
      <c r="E26" s="99"/>
      <c r="F26" s="99"/>
      <c r="G26" s="99"/>
      <c r="H26" s="74"/>
      <c r="I26" s="74"/>
      <c r="J26" s="74"/>
      <c r="K26" s="74"/>
      <c r="L26" s="74"/>
      <c r="M26" s="74"/>
      <c r="N26" s="74"/>
    </row>
    <row r="27" spans="1:14" ht="20" customHeight="1" x14ac:dyDescent="0.35">
      <c r="A27" s="74"/>
      <c r="B27" s="99" t="s">
        <v>277</v>
      </c>
      <c r="C27" s="99"/>
      <c r="D27" s="99"/>
      <c r="E27" s="99"/>
      <c r="F27" s="99"/>
      <c r="G27" s="99"/>
      <c r="H27" s="74"/>
      <c r="I27" s="74"/>
      <c r="J27" s="74"/>
      <c r="K27" s="74"/>
      <c r="L27" s="74"/>
      <c r="M27" s="74"/>
      <c r="N27" s="74"/>
    </row>
    <row r="28" spans="1:14" ht="20" customHeight="1" x14ac:dyDescent="0.35">
      <c r="A28" s="74"/>
      <c r="B28" s="99" t="s">
        <v>278</v>
      </c>
      <c r="C28" s="99"/>
      <c r="D28" s="99"/>
      <c r="E28" s="99"/>
      <c r="F28" s="99"/>
      <c r="G28" s="99"/>
      <c r="H28" s="74"/>
      <c r="I28" s="74"/>
      <c r="J28" s="74"/>
      <c r="K28" s="74"/>
      <c r="L28" s="74"/>
      <c r="M28" s="74"/>
      <c r="N28" s="74"/>
    </row>
    <row r="29" spans="1:14" ht="20" customHeight="1" x14ac:dyDescent="0.35">
      <c r="A29" s="74"/>
      <c r="B29" s="99" t="s">
        <v>279</v>
      </c>
      <c r="C29" s="99"/>
      <c r="D29" s="99"/>
      <c r="E29" s="99"/>
      <c r="F29" s="99"/>
      <c r="G29" s="99"/>
      <c r="H29" s="74"/>
      <c r="I29" s="74"/>
      <c r="J29" s="74"/>
      <c r="K29" s="74"/>
      <c r="L29" s="74"/>
      <c r="M29" s="74"/>
      <c r="N29" s="74"/>
    </row>
    <row r="30" spans="1:14" ht="20" customHeight="1" x14ac:dyDescent="0.35">
      <c r="A30" s="74"/>
      <c r="B30" s="74"/>
      <c r="C30" s="74"/>
      <c r="D30" s="74"/>
      <c r="E30" s="74"/>
      <c r="F30" s="74"/>
      <c r="G30" s="74"/>
      <c r="H30" s="74"/>
      <c r="I30" s="74"/>
      <c r="J30" s="74"/>
      <c r="K30" s="74"/>
      <c r="L30" s="74"/>
      <c r="M30" s="74"/>
      <c r="N30" s="74"/>
    </row>
    <row r="31" spans="1:14" ht="20" customHeight="1" x14ac:dyDescent="0.35">
      <c r="A31" s="74"/>
      <c r="B31" s="116" t="s">
        <v>79</v>
      </c>
      <c r="C31" s="109"/>
      <c r="D31" s="109"/>
      <c r="E31" s="109"/>
      <c r="F31" s="109"/>
      <c r="G31" s="109"/>
      <c r="H31" s="74"/>
      <c r="I31" s="74"/>
      <c r="J31" s="74"/>
      <c r="K31" s="74"/>
      <c r="L31" s="74"/>
      <c r="M31" s="74"/>
      <c r="N31" s="74"/>
    </row>
    <row r="32" spans="1:14" ht="20" customHeight="1" x14ac:dyDescent="0.35">
      <c r="A32" s="74"/>
      <c r="B32" s="77" t="s">
        <v>80</v>
      </c>
      <c r="C32" s="120" t="s">
        <v>81</v>
      </c>
      <c r="D32" s="119"/>
      <c r="E32" s="119"/>
      <c r="F32" s="119"/>
      <c r="G32" s="119"/>
      <c r="H32" s="74"/>
      <c r="I32" s="74"/>
      <c r="J32" s="74"/>
      <c r="K32" s="74"/>
      <c r="L32" s="74"/>
      <c r="M32" s="74"/>
      <c r="N32" s="74"/>
    </row>
    <row r="33" spans="1:14" ht="20" customHeight="1" x14ac:dyDescent="0.35">
      <c r="A33" s="74"/>
      <c r="B33" s="77" t="s">
        <v>82</v>
      </c>
      <c r="C33" s="120" t="s">
        <v>83</v>
      </c>
      <c r="D33" s="119"/>
      <c r="E33" s="119"/>
      <c r="F33" s="119"/>
      <c r="G33" s="119"/>
      <c r="H33" s="74"/>
      <c r="I33" s="74"/>
      <c r="J33" s="74"/>
      <c r="K33" s="74"/>
      <c r="L33" s="74"/>
      <c r="M33" s="74"/>
      <c r="N33" s="74"/>
    </row>
    <row r="34" spans="1:14" ht="20" customHeight="1" x14ac:dyDescent="0.35">
      <c r="A34" s="74"/>
      <c r="B34" s="77" t="s">
        <v>16</v>
      </c>
      <c r="C34" s="120" t="s">
        <v>84</v>
      </c>
      <c r="D34" s="119"/>
      <c r="E34" s="119"/>
      <c r="F34" s="119"/>
      <c r="G34" s="119"/>
      <c r="H34" s="74"/>
      <c r="I34" s="74"/>
      <c r="J34" s="74"/>
      <c r="K34" s="74"/>
      <c r="L34" s="74"/>
      <c r="M34" s="74"/>
      <c r="N34" s="74"/>
    </row>
    <row r="35" spans="1:14" ht="20" customHeight="1" x14ac:dyDescent="0.35">
      <c r="A35" s="74"/>
      <c r="B35" s="77" t="s">
        <v>85</v>
      </c>
      <c r="C35" s="120" t="s">
        <v>86</v>
      </c>
      <c r="D35" s="119"/>
      <c r="E35" s="119"/>
      <c r="F35" s="119"/>
      <c r="G35" s="119"/>
      <c r="H35" s="74"/>
      <c r="I35" s="74"/>
      <c r="J35" s="74"/>
      <c r="K35" s="74"/>
      <c r="L35" s="74"/>
      <c r="M35" s="74"/>
      <c r="N35" s="74"/>
    </row>
    <row r="36" spans="1:14" ht="20" customHeight="1" x14ac:dyDescent="0.35">
      <c r="A36" s="74"/>
      <c r="B36" s="117" t="s">
        <v>87</v>
      </c>
      <c r="C36" s="109"/>
      <c r="D36" s="109"/>
      <c r="E36" s="109"/>
      <c r="F36" s="109"/>
      <c r="G36" s="109"/>
      <c r="H36" s="74"/>
      <c r="I36" s="74"/>
      <c r="J36" s="74"/>
      <c r="K36" s="74"/>
      <c r="L36" s="74"/>
      <c r="M36" s="74"/>
      <c r="N36" s="74"/>
    </row>
    <row r="37" spans="1:14" ht="20" customHeight="1" x14ac:dyDescent="0.35">
      <c r="A37" s="74"/>
      <c r="B37" s="124" t="s">
        <v>88</v>
      </c>
      <c r="C37" s="109"/>
      <c r="D37" s="109"/>
      <c r="E37" s="109"/>
      <c r="F37" s="109"/>
      <c r="G37" s="109"/>
      <c r="H37" s="74"/>
      <c r="I37" s="74"/>
      <c r="J37" s="74"/>
      <c r="K37" s="74"/>
      <c r="L37" s="74"/>
      <c r="M37" s="74"/>
      <c r="N37" s="74"/>
    </row>
    <row r="38" spans="1:14" ht="20" customHeight="1" x14ac:dyDescent="0.35">
      <c r="A38" s="74"/>
      <c r="B38" s="74"/>
      <c r="C38" s="74"/>
      <c r="D38" s="74"/>
      <c r="E38" s="74"/>
      <c r="F38" s="74"/>
      <c r="G38" s="74"/>
      <c r="H38" s="74"/>
      <c r="I38" s="74"/>
      <c r="J38" s="74"/>
      <c r="K38" s="74"/>
      <c r="L38" s="74"/>
      <c r="M38" s="74"/>
      <c r="N38" s="74"/>
    </row>
    <row r="39" spans="1:14" ht="20" customHeight="1" x14ac:dyDescent="0.35">
      <c r="A39" s="74"/>
      <c r="B39" s="74"/>
      <c r="C39" s="74"/>
      <c r="D39" s="74"/>
      <c r="E39" s="74"/>
      <c r="F39" s="74"/>
      <c r="G39" s="74"/>
      <c r="H39" s="74"/>
      <c r="I39" s="74"/>
      <c r="J39" s="74"/>
      <c r="K39" s="74"/>
      <c r="L39" s="74"/>
      <c r="M39" s="74"/>
      <c r="N39" s="74"/>
    </row>
    <row r="40" spans="1:14" ht="20" customHeight="1" x14ac:dyDescent="0.35">
      <c r="A40" s="74"/>
      <c r="B40" s="74"/>
      <c r="C40" s="74"/>
      <c r="D40" s="74"/>
      <c r="E40" s="74"/>
      <c r="F40" s="74"/>
      <c r="G40" s="74"/>
      <c r="H40" s="74"/>
      <c r="I40" s="74"/>
      <c r="J40" s="74"/>
      <c r="K40" s="74"/>
      <c r="L40" s="74"/>
      <c r="M40" s="74"/>
      <c r="N40" s="74"/>
    </row>
    <row r="41" spans="1:14" ht="20" customHeight="1" x14ac:dyDescent="0.35">
      <c r="A41" s="74"/>
      <c r="H41" s="74"/>
      <c r="I41" s="74"/>
      <c r="J41" s="74"/>
      <c r="K41" s="74"/>
      <c r="L41" s="74"/>
      <c r="M41" s="74"/>
      <c r="N41" s="74"/>
    </row>
    <row r="42" spans="1:14" ht="20" customHeight="1" x14ac:dyDescent="0.35">
      <c r="A42" s="74"/>
      <c r="B42" s="74"/>
      <c r="C42" s="74"/>
      <c r="D42" s="74"/>
      <c r="E42" s="74"/>
      <c r="F42" s="74"/>
      <c r="G42" s="74"/>
      <c r="H42" s="74"/>
      <c r="I42" s="74"/>
      <c r="J42" s="74"/>
      <c r="K42" s="74"/>
      <c r="L42" s="74"/>
      <c r="M42" s="74"/>
      <c r="N42" s="74"/>
    </row>
    <row r="43" spans="1:14" ht="20" customHeight="1" x14ac:dyDescent="0.35">
      <c r="A43" s="74"/>
      <c r="H43" s="74"/>
      <c r="I43" s="74"/>
      <c r="J43" s="74"/>
      <c r="K43" s="74"/>
      <c r="L43" s="74"/>
      <c r="M43" s="74"/>
      <c r="N43" s="74"/>
    </row>
    <row r="44" spans="1:14" ht="20" customHeight="1" x14ac:dyDescent="0.35">
      <c r="A44" s="74"/>
      <c r="B44" s="74"/>
      <c r="C44" s="74"/>
      <c r="D44" s="74"/>
      <c r="E44" s="74"/>
      <c r="F44" s="74"/>
      <c r="G44" s="74"/>
      <c r="H44" s="74"/>
      <c r="I44" s="74"/>
      <c r="J44" s="74"/>
      <c r="K44" s="74"/>
      <c r="L44" s="74"/>
      <c r="M44" s="74"/>
      <c r="N44" s="74"/>
    </row>
    <row r="45" spans="1:14" ht="23.5" customHeight="1" x14ac:dyDescent="0.35">
      <c r="A45" s="74"/>
      <c r="B45" s="74"/>
      <c r="C45" s="74"/>
      <c r="D45" s="74"/>
      <c r="E45" s="74"/>
      <c r="F45" s="74"/>
      <c r="G45" s="74"/>
      <c r="H45" s="74"/>
      <c r="I45" s="74"/>
      <c r="J45" s="74"/>
      <c r="K45" s="74"/>
      <c r="L45" s="74"/>
      <c r="M45" s="74"/>
      <c r="N45" s="74"/>
    </row>
  </sheetData>
  <mergeCells count="20">
    <mergeCell ref="C11:G11"/>
    <mergeCell ref="B37:G37"/>
    <mergeCell ref="C9:G9"/>
    <mergeCell ref="B15:G15"/>
    <mergeCell ref="B1:G1"/>
    <mergeCell ref="B4:G4"/>
    <mergeCell ref="B36:G36"/>
    <mergeCell ref="C8:G8"/>
    <mergeCell ref="C7:G7"/>
    <mergeCell ref="C35:G35"/>
    <mergeCell ref="B16:G18"/>
    <mergeCell ref="C32:G32"/>
    <mergeCell ref="C10:G10"/>
    <mergeCell ref="B31:G31"/>
    <mergeCell ref="B2:G2"/>
    <mergeCell ref="B20:G20"/>
    <mergeCell ref="C34:G34"/>
    <mergeCell ref="C12:G12"/>
    <mergeCell ref="C6:G6"/>
    <mergeCell ref="C33:G33"/>
  </mergeCells>
  <pageMargins left="0.25" right="0.25" top="0.4" bottom="0.4" header="0.15" footer="0.15"/>
  <pageSetup scale="73" orientation="portrait" r:id="rId1"/>
  <headerFooter>
    <oddFooter>&amp;C&amp;"Aptos"&amp;8 Infosys Ltd Financial Analysis | FY2014–FY2025&amp;RPage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9"/>
  <sheetViews>
    <sheetView showGridLines="0" zoomScale="77" zoomScaleNormal="130" workbookViewId="0">
      <selection activeCell="J18" sqref="J18"/>
    </sheetView>
  </sheetViews>
  <sheetFormatPr defaultRowHeight="14.5" x14ac:dyDescent="0.35"/>
  <cols>
    <col min="1" max="1" width="3" customWidth="1"/>
    <col min="2" max="2" width="27" customWidth="1"/>
    <col min="3" max="4" width="34" customWidth="1"/>
    <col min="5" max="6" width="22" customWidth="1"/>
    <col min="7" max="7" width="3" customWidth="1"/>
  </cols>
  <sheetData>
    <row r="1" spans="1:10" ht="36" customHeight="1" x14ac:dyDescent="0.35">
      <c r="A1" s="78"/>
      <c r="B1" s="115" t="s">
        <v>41</v>
      </c>
      <c r="C1" s="112"/>
      <c r="D1" s="112"/>
      <c r="E1" s="112"/>
      <c r="F1" s="112"/>
      <c r="G1" s="78"/>
      <c r="H1" s="78"/>
      <c r="I1" s="78"/>
      <c r="J1" s="78"/>
    </row>
    <row r="2" spans="1:10" ht="26" customHeight="1" x14ac:dyDescent="0.35">
      <c r="A2" s="78"/>
      <c r="B2" s="130" t="s">
        <v>89</v>
      </c>
      <c r="C2" s="112"/>
      <c r="D2" s="112"/>
      <c r="E2" s="112"/>
      <c r="F2" s="112"/>
      <c r="G2" s="78"/>
      <c r="H2" s="78"/>
      <c r="I2" s="78"/>
      <c r="J2" s="78"/>
    </row>
    <row r="3" spans="1:10" ht="22" customHeight="1" x14ac:dyDescent="0.35">
      <c r="A3" s="78"/>
      <c r="B3" s="127" t="s">
        <v>90</v>
      </c>
      <c r="C3" s="109"/>
      <c r="D3" s="109"/>
      <c r="E3" s="109"/>
      <c r="F3" s="109"/>
      <c r="G3" s="78"/>
      <c r="H3" s="78"/>
      <c r="I3" s="78"/>
      <c r="J3" s="78"/>
    </row>
    <row r="4" spans="1:10" ht="54" customHeight="1" x14ac:dyDescent="0.35">
      <c r="A4" s="78"/>
      <c r="B4" s="80" t="s">
        <v>91</v>
      </c>
      <c r="C4" s="120" t="s">
        <v>92</v>
      </c>
      <c r="D4" s="125"/>
      <c r="E4" s="125"/>
      <c r="F4" s="125"/>
      <c r="G4" s="78"/>
      <c r="H4" s="78"/>
      <c r="I4" s="78"/>
      <c r="J4" s="78"/>
    </row>
    <row r="5" spans="1:10" ht="48" customHeight="1" x14ac:dyDescent="0.35">
      <c r="A5" s="78"/>
      <c r="B5" s="80" t="s">
        <v>93</v>
      </c>
      <c r="C5" s="120" t="s">
        <v>94</v>
      </c>
      <c r="D5" s="125"/>
      <c r="E5" s="125"/>
      <c r="F5" s="125"/>
      <c r="G5" s="78"/>
      <c r="H5" s="78"/>
      <c r="I5" s="78"/>
      <c r="J5" s="78"/>
    </row>
    <row r="6" spans="1:10" ht="22" customHeight="1" x14ac:dyDescent="0.35">
      <c r="A6" s="78"/>
      <c r="B6" s="78"/>
      <c r="C6" s="78"/>
      <c r="D6" s="78"/>
      <c r="E6" s="78"/>
      <c r="F6" s="78"/>
      <c r="G6" s="78"/>
      <c r="H6" s="78"/>
      <c r="I6" s="78"/>
      <c r="J6" s="78"/>
    </row>
    <row r="7" spans="1:10" ht="22" customHeight="1" x14ac:dyDescent="0.35">
      <c r="A7" s="78"/>
      <c r="B7" s="127" t="s">
        <v>95</v>
      </c>
      <c r="C7" s="109"/>
      <c r="D7" s="109"/>
      <c r="E7" s="109"/>
      <c r="F7" s="109"/>
      <c r="G7" s="78"/>
      <c r="H7" s="78"/>
      <c r="I7" s="78"/>
      <c r="J7" s="78"/>
    </row>
    <row r="8" spans="1:10" ht="42" customHeight="1" x14ac:dyDescent="0.35">
      <c r="A8" s="78"/>
      <c r="B8" s="80" t="s">
        <v>96</v>
      </c>
      <c r="C8" s="120" t="s">
        <v>97</v>
      </c>
      <c r="D8" s="125"/>
      <c r="E8" s="125"/>
      <c r="F8" s="125"/>
      <c r="G8" s="78"/>
      <c r="H8" s="78"/>
      <c r="I8" s="78"/>
      <c r="J8" s="78"/>
    </row>
    <row r="9" spans="1:10" ht="54" customHeight="1" x14ac:dyDescent="0.35">
      <c r="A9" s="78"/>
      <c r="B9" s="80" t="s">
        <v>98</v>
      </c>
      <c r="C9" s="120" t="s">
        <v>99</v>
      </c>
      <c r="D9" s="125"/>
      <c r="E9" s="125"/>
      <c r="F9" s="125"/>
      <c r="G9" s="78"/>
      <c r="H9" s="78"/>
      <c r="I9" s="78"/>
      <c r="J9" s="78"/>
    </row>
    <row r="10" spans="1:10" ht="42" customHeight="1" x14ac:dyDescent="0.35">
      <c r="A10" s="78"/>
      <c r="B10" s="80" t="s">
        <v>100</v>
      </c>
      <c r="C10" s="120" t="s">
        <v>101</v>
      </c>
      <c r="D10" s="125"/>
      <c r="E10" s="125"/>
      <c r="F10" s="125"/>
      <c r="G10" s="78"/>
      <c r="H10" s="78"/>
      <c r="I10" s="78"/>
      <c r="J10" s="78"/>
    </row>
    <row r="11" spans="1:10" ht="22" customHeight="1" x14ac:dyDescent="0.35">
      <c r="A11" s="78"/>
      <c r="B11" s="78"/>
      <c r="C11" s="78"/>
      <c r="D11" s="78"/>
      <c r="E11" s="78"/>
      <c r="F11" s="78"/>
      <c r="G11" s="78"/>
      <c r="H11" s="78"/>
      <c r="I11" s="78"/>
      <c r="J11" s="78"/>
    </row>
    <row r="12" spans="1:10" ht="22" customHeight="1" x14ac:dyDescent="0.35">
      <c r="A12" s="78"/>
      <c r="B12" s="127" t="s">
        <v>102</v>
      </c>
      <c r="C12" s="109"/>
      <c r="D12" s="109"/>
      <c r="E12" s="109"/>
      <c r="F12" s="109"/>
      <c r="G12" s="78"/>
      <c r="H12" s="78"/>
      <c r="I12" s="78"/>
      <c r="J12" s="78"/>
    </row>
    <row r="13" spans="1:10" ht="42" customHeight="1" x14ac:dyDescent="0.35">
      <c r="A13" s="78"/>
      <c r="B13" s="80" t="s">
        <v>103</v>
      </c>
      <c r="C13" s="128" t="s">
        <v>104</v>
      </c>
      <c r="D13" s="119"/>
      <c r="E13" s="119"/>
      <c r="F13" s="119"/>
      <c r="G13" s="78"/>
      <c r="H13" s="78"/>
      <c r="I13" s="78"/>
      <c r="J13" s="78"/>
    </row>
    <row r="14" spans="1:10" ht="42" customHeight="1" x14ac:dyDescent="0.35">
      <c r="A14" s="78"/>
      <c r="B14" s="80" t="s">
        <v>105</v>
      </c>
      <c r="C14" s="128" t="s">
        <v>106</v>
      </c>
      <c r="D14" s="119"/>
      <c r="E14" s="119"/>
      <c r="F14" s="119"/>
      <c r="G14" s="78"/>
      <c r="H14" s="78"/>
      <c r="I14" s="78"/>
      <c r="J14" s="78"/>
    </row>
    <row r="15" spans="1:10" ht="42" customHeight="1" x14ac:dyDescent="0.35">
      <c r="A15" s="78"/>
      <c r="B15" s="80" t="s">
        <v>107</v>
      </c>
      <c r="C15" s="128" t="s">
        <v>108</v>
      </c>
      <c r="D15" s="119"/>
      <c r="E15" s="119"/>
      <c r="F15" s="119"/>
      <c r="G15" s="78"/>
      <c r="H15" s="78"/>
      <c r="I15" s="78"/>
      <c r="J15" s="78"/>
    </row>
    <row r="16" spans="1:10" ht="42" customHeight="1" x14ac:dyDescent="0.35">
      <c r="A16" s="78"/>
      <c r="B16" s="80" t="s">
        <v>109</v>
      </c>
      <c r="C16" s="128" t="s">
        <v>110</v>
      </c>
      <c r="D16" s="119"/>
      <c r="E16" s="119"/>
      <c r="F16" s="119"/>
      <c r="G16" s="78"/>
      <c r="H16" s="78"/>
      <c r="I16" s="78"/>
      <c r="J16" s="78"/>
    </row>
    <row r="17" spans="1:10" ht="42" customHeight="1" x14ac:dyDescent="0.35">
      <c r="A17" s="78"/>
      <c r="B17" s="80" t="s">
        <v>111</v>
      </c>
      <c r="C17" s="128" t="s">
        <v>112</v>
      </c>
      <c r="D17" s="119"/>
      <c r="E17" s="119"/>
      <c r="F17" s="119"/>
      <c r="G17" s="78"/>
      <c r="H17" s="78"/>
      <c r="I17" s="78"/>
      <c r="J17" s="78"/>
    </row>
    <row r="18" spans="1:10" ht="22" customHeight="1" x14ac:dyDescent="0.35">
      <c r="A18" s="78"/>
      <c r="B18" s="78"/>
      <c r="C18" s="78"/>
      <c r="D18" s="78"/>
      <c r="E18" s="78"/>
      <c r="F18" s="78"/>
      <c r="G18" s="78"/>
      <c r="H18" s="78"/>
      <c r="I18" s="78"/>
      <c r="J18" s="78"/>
    </row>
    <row r="19" spans="1:10" ht="22" customHeight="1" x14ac:dyDescent="0.35">
      <c r="A19" s="78"/>
      <c r="B19" s="127" t="s">
        <v>113</v>
      </c>
      <c r="C19" s="109"/>
      <c r="D19" s="109"/>
      <c r="E19" s="109"/>
      <c r="F19" s="109"/>
      <c r="G19" s="78"/>
      <c r="H19" s="78"/>
      <c r="I19" s="78"/>
      <c r="J19" s="78"/>
    </row>
    <row r="20" spans="1:10" ht="58" customHeight="1" x14ac:dyDescent="0.35">
      <c r="A20" s="78"/>
      <c r="B20" s="80" t="s">
        <v>114</v>
      </c>
      <c r="C20" s="120" t="s">
        <v>115</v>
      </c>
      <c r="D20" s="125"/>
      <c r="E20" s="125"/>
      <c r="F20" s="125"/>
      <c r="G20" s="78"/>
      <c r="H20" s="78"/>
      <c r="I20" s="78"/>
      <c r="J20" s="78"/>
    </row>
    <row r="21" spans="1:10" ht="54" customHeight="1" x14ac:dyDescent="0.35">
      <c r="A21" s="78"/>
      <c r="B21" s="80" t="s">
        <v>116</v>
      </c>
      <c r="C21" s="120" t="s">
        <v>117</v>
      </c>
      <c r="D21" s="125"/>
      <c r="E21" s="125"/>
      <c r="F21" s="125"/>
      <c r="G21" s="78"/>
      <c r="H21" s="78"/>
      <c r="I21" s="78"/>
      <c r="J21" s="78"/>
    </row>
    <row r="22" spans="1:10" ht="22" customHeight="1" x14ac:dyDescent="0.35">
      <c r="A22" s="78"/>
      <c r="B22" s="78"/>
      <c r="C22" s="78"/>
      <c r="D22" s="78"/>
      <c r="E22" s="78"/>
      <c r="F22" s="78"/>
      <c r="G22" s="78"/>
      <c r="H22" s="78"/>
      <c r="I22" s="78"/>
      <c r="J22" s="78"/>
    </row>
    <row r="23" spans="1:10" ht="22" customHeight="1" x14ac:dyDescent="0.35">
      <c r="A23" s="78"/>
      <c r="B23" s="127" t="s">
        <v>118</v>
      </c>
      <c r="C23" s="109"/>
      <c r="D23" s="109"/>
      <c r="E23" s="109"/>
      <c r="F23" s="109"/>
      <c r="G23" s="78"/>
      <c r="H23" s="78"/>
      <c r="I23" s="78"/>
      <c r="J23" s="78"/>
    </row>
    <row r="24" spans="1:10" ht="22" customHeight="1" x14ac:dyDescent="0.35">
      <c r="A24" s="78"/>
      <c r="B24" s="79" t="s">
        <v>263</v>
      </c>
      <c r="C24" s="79"/>
      <c r="D24" s="79"/>
      <c r="E24" s="79"/>
      <c r="F24" s="79"/>
      <c r="G24" s="78"/>
      <c r="H24" s="78"/>
      <c r="I24" s="78"/>
      <c r="J24" s="78"/>
    </row>
    <row r="25" spans="1:10" ht="22" customHeight="1" x14ac:dyDescent="0.35">
      <c r="A25" s="78"/>
      <c r="B25" s="81" t="s">
        <v>264</v>
      </c>
      <c r="C25" s="81"/>
      <c r="D25" s="81"/>
      <c r="E25" s="81"/>
      <c r="F25" s="81"/>
      <c r="G25" s="78"/>
      <c r="H25" s="78"/>
      <c r="I25" s="78"/>
      <c r="J25" s="78"/>
    </row>
    <row r="26" spans="1:10" ht="22" customHeight="1" x14ac:dyDescent="0.35">
      <c r="A26" s="78"/>
      <c r="B26" s="81" t="s">
        <v>18</v>
      </c>
      <c r="C26" s="81"/>
      <c r="D26" s="81"/>
      <c r="E26" s="81"/>
      <c r="F26" s="81"/>
      <c r="G26" s="78"/>
      <c r="H26" s="78"/>
      <c r="I26" s="78"/>
      <c r="J26" s="78"/>
    </row>
    <row r="27" spans="1:10" ht="22" customHeight="1" x14ac:dyDescent="0.35">
      <c r="A27" s="78"/>
      <c r="B27" s="81" t="s">
        <v>265</v>
      </c>
      <c r="C27" s="81"/>
      <c r="D27" s="81"/>
      <c r="E27" s="81"/>
      <c r="F27" s="81"/>
      <c r="G27" s="78"/>
      <c r="H27" s="78"/>
      <c r="I27" s="78"/>
      <c r="J27" s="78"/>
    </row>
    <row r="28" spans="1:10" ht="22" customHeight="1" x14ac:dyDescent="0.35">
      <c r="A28" s="78"/>
      <c r="B28" s="81" t="s">
        <v>266</v>
      </c>
      <c r="C28" s="81"/>
      <c r="D28" s="81"/>
      <c r="E28" s="81"/>
      <c r="F28" s="81"/>
      <c r="G28" s="78"/>
      <c r="H28" s="78"/>
      <c r="I28" s="78"/>
      <c r="J28" s="78"/>
    </row>
    <row r="29" spans="1:10" ht="22" customHeight="1" x14ac:dyDescent="0.35">
      <c r="A29" s="78"/>
      <c r="B29" s="81" t="s">
        <v>267</v>
      </c>
      <c r="C29" s="81"/>
      <c r="D29" s="81"/>
      <c r="E29" s="81"/>
      <c r="F29" s="81"/>
      <c r="G29" s="78"/>
      <c r="H29" s="78"/>
      <c r="I29" s="78"/>
      <c r="J29" s="78"/>
    </row>
    <row r="30" spans="1:10" ht="22" customHeight="1" x14ac:dyDescent="0.35">
      <c r="A30" s="78"/>
      <c r="B30" s="81" t="s">
        <v>268</v>
      </c>
      <c r="C30" s="81"/>
      <c r="D30" s="81"/>
      <c r="E30" s="81"/>
      <c r="F30" s="81"/>
      <c r="G30" s="78"/>
      <c r="H30" s="78"/>
      <c r="I30" s="78"/>
      <c r="J30" s="78"/>
    </row>
    <row r="31" spans="1:10" ht="22" customHeight="1" x14ac:dyDescent="0.35">
      <c r="A31" s="78"/>
      <c r="B31" s="81" t="s">
        <v>22</v>
      </c>
      <c r="C31" s="81"/>
      <c r="D31" s="81"/>
      <c r="E31" s="81"/>
      <c r="F31" s="81"/>
      <c r="G31" s="78"/>
      <c r="H31" s="78"/>
      <c r="I31" s="78"/>
      <c r="J31" s="78"/>
    </row>
    <row r="32" spans="1:10" ht="22" customHeight="1" x14ac:dyDescent="0.35">
      <c r="A32" s="78"/>
      <c r="B32" s="78"/>
      <c r="C32" s="78"/>
      <c r="D32" s="78"/>
      <c r="E32" s="78"/>
      <c r="F32" s="78"/>
      <c r="G32" s="78"/>
      <c r="H32" s="78"/>
      <c r="I32" s="78"/>
      <c r="J32" s="78"/>
    </row>
    <row r="33" spans="1:10" ht="22" customHeight="1" x14ac:dyDescent="0.35">
      <c r="A33" s="78"/>
      <c r="B33" s="127" t="s">
        <v>119</v>
      </c>
      <c r="C33" s="127"/>
      <c r="D33" s="127"/>
      <c r="E33" s="127"/>
      <c r="F33" s="127"/>
      <c r="G33" s="78"/>
      <c r="H33" s="78"/>
      <c r="I33" s="78"/>
      <c r="J33" s="78"/>
    </row>
    <row r="34" spans="1:10" ht="48" customHeight="1" x14ac:dyDescent="0.35">
      <c r="A34" s="78"/>
      <c r="B34" s="80" t="s">
        <v>120</v>
      </c>
      <c r="C34" s="120" t="s">
        <v>121</v>
      </c>
      <c r="D34" s="125"/>
      <c r="E34" s="125"/>
      <c r="F34" s="125"/>
      <c r="G34" s="78"/>
      <c r="H34" s="78"/>
      <c r="I34" s="78"/>
      <c r="J34" s="78"/>
    </row>
    <row r="35" spans="1:10" ht="52" customHeight="1" x14ac:dyDescent="0.35">
      <c r="A35" s="78"/>
      <c r="B35" s="80" t="s">
        <v>122</v>
      </c>
      <c r="C35" s="120" t="s">
        <v>123</v>
      </c>
      <c r="D35" s="125"/>
      <c r="E35" s="125"/>
      <c r="F35" s="125"/>
      <c r="G35" s="78"/>
      <c r="H35" s="78"/>
      <c r="I35" s="78"/>
      <c r="J35" s="78"/>
    </row>
    <row r="36" spans="1:10" ht="22" customHeight="1" x14ac:dyDescent="0.35">
      <c r="A36" s="78"/>
      <c r="B36" s="129" t="s">
        <v>124</v>
      </c>
      <c r="C36" s="129"/>
      <c r="D36" s="129"/>
      <c r="E36" s="129"/>
      <c r="F36" s="129"/>
      <c r="G36" s="78"/>
      <c r="H36" s="78"/>
      <c r="I36" s="78"/>
      <c r="J36" s="78"/>
    </row>
    <row r="37" spans="1:10" ht="22" customHeight="1" x14ac:dyDescent="0.35">
      <c r="A37" s="78"/>
      <c r="B37" s="126" t="s">
        <v>125</v>
      </c>
      <c r="C37" s="126"/>
      <c r="D37" s="126"/>
      <c r="E37" s="126"/>
      <c r="F37" s="126"/>
      <c r="G37" s="78"/>
      <c r="H37" s="78"/>
      <c r="I37" s="78"/>
      <c r="J37" s="78"/>
    </row>
    <row r="38" spans="1:10" ht="22" customHeight="1" x14ac:dyDescent="0.35">
      <c r="A38" s="78"/>
      <c r="G38" s="78"/>
      <c r="H38" s="78"/>
      <c r="I38" s="78"/>
      <c r="J38" s="78"/>
    </row>
    <row r="39" spans="1:10" ht="22" customHeight="1" x14ac:dyDescent="0.35">
      <c r="A39" s="78"/>
      <c r="B39" s="78"/>
      <c r="C39" s="78"/>
      <c r="D39" s="78"/>
      <c r="E39" s="78"/>
      <c r="F39" s="78"/>
      <c r="G39" s="78"/>
      <c r="H39" s="78"/>
      <c r="I39" s="78"/>
      <c r="J39" s="78"/>
    </row>
    <row r="40" spans="1:10" ht="22" customHeight="1" x14ac:dyDescent="0.35">
      <c r="A40" s="78"/>
      <c r="G40" s="78"/>
      <c r="H40" s="78"/>
      <c r="I40" s="78"/>
      <c r="J40" s="78"/>
    </row>
    <row r="41" spans="1:10" ht="22" customHeight="1" x14ac:dyDescent="0.35">
      <c r="A41" s="78"/>
      <c r="B41" s="78"/>
      <c r="C41" s="78"/>
      <c r="D41" s="78"/>
      <c r="E41" s="78"/>
      <c r="F41" s="78"/>
      <c r="G41" s="78"/>
      <c r="H41" s="78"/>
      <c r="I41" s="78"/>
      <c r="J41" s="78"/>
    </row>
    <row r="42" spans="1:10" ht="22" customHeight="1" x14ac:dyDescent="0.35">
      <c r="A42" s="78"/>
      <c r="B42" s="78"/>
      <c r="C42" s="78"/>
      <c r="D42" s="78"/>
      <c r="E42" s="78"/>
      <c r="F42" s="78"/>
      <c r="G42" s="78"/>
      <c r="H42" s="78"/>
      <c r="I42" s="78"/>
      <c r="J42" s="78"/>
    </row>
    <row r="43" spans="1:10" ht="22" customHeight="1" x14ac:dyDescent="0.35">
      <c r="A43" s="78"/>
      <c r="B43" s="78"/>
      <c r="C43" s="78"/>
      <c r="D43" s="78"/>
      <c r="E43" s="78"/>
      <c r="F43" s="78"/>
      <c r="G43" s="78"/>
      <c r="H43" s="78"/>
      <c r="I43" s="78"/>
      <c r="J43" s="78"/>
    </row>
    <row r="44" spans="1:10" x14ac:dyDescent="0.35">
      <c r="A44" s="78"/>
      <c r="B44" s="78"/>
      <c r="C44" s="78"/>
      <c r="D44" s="78"/>
      <c r="E44" s="78"/>
      <c r="F44" s="78"/>
      <c r="G44" s="78"/>
      <c r="H44" s="78"/>
      <c r="I44" s="78"/>
      <c r="J44" s="78"/>
    </row>
    <row r="45" spans="1:10" x14ac:dyDescent="0.35">
      <c r="A45" s="78"/>
      <c r="B45" s="78"/>
      <c r="C45" s="78"/>
      <c r="D45" s="78"/>
      <c r="E45" s="78"/>
      <c r="F45" s="78"/>
      <c r="G45" s="78"/>
      <c r="H45" s="78"/>
      <c r="I45" s="78"/>
      <c r="J45" s="78"/>
    </row>
    <row r="46" spans="1:10" x14ac:dyDescent="0.35">
      <c r="A46" s="78"/>
      <c r="B46" s="78"/>
      <c r="C46" s="78"/>
      <c r="D46" s="78"/>
      <c r="E46" s="78"/>
      <c r="F46" s="78"/>
      <c r="G46" s="78"/>
      <c r="H46" s="78"/>
      <c r="I46" s="78"/>
      <c r="J46" s="78"/>
    </row>
    <row r="47" spans="1:10" x14ac:dyDescent="0.35">
      <c r="A47" s="78"/>
      <c r="B47" s="78"/>
      <c r="C47" s="78"/>
      <c r="D47" s="78"/>
      <c r="E47" s="78"/>
      <c r="F47" s="78"/>
      <c r="G47" s="78"/>
      <c r="H47" s="78"/>
      <c r="I47" s="78"/>
      <c r="J47" s="78"/>
    </row>
    <row r="48" spans="1:10" x14ac:dyDescent="0.35">
      <c r="A48" s="78"/>
      <c r="B48" s="78"/>
      <c r="C48" s="78"/>
      <c r="D48" s="78"/>
      <c r="E48" s="78"/>
      <c r="F48" s="78"/>
      <c r="G48" s="78"/>
      <c r="H48" s="78"/>
      <c r="I48" s="78"/>
      <c r="J48" s="78"/>
    </row>
    <row r="49" spans="1:10" x14ac:dyDescent="0.35">
      <c r="A49" s="78"/>
      <c r="B49" s="78"/>
      <c r="C49" s="78"/>
      <c r="D49" s="78"/>
      <c r="E49" s="78"/>
      <c r="F49" s="78"/>
      <c r="G49" s="78"/>
      <c r="H49" s="78"/>
      <c r="I49" s="78"/>
      <c r="J49" s="78"/>
    </row>
    <row r="50" spans="1:10" x14ac:dyDescent="0.35">
      <c r="A50" s="78"/>
      <c r="B50" s="78"/>
      <c r="C50" s="78"/>
      <c r="D50" s="78"/>
      <c r="E50" s="78"/>
      <c r="F50" s="78"/>
      <c r="G50" s="78"/>
      <c r="H50" s="78"/>
      <c r="I50" s="78"/>
      <c r="J50" s="78"/>
    </row>
    <row r="51" spans="1:10" x14ac:dyDescent="0.35">
      <c r="A51" s="78"/>
      <c r="B51" s="78"/>
      <c r="C51" s="78"/>
      <c r="D51" s="78"/>
      <c r="E51" s="78"/>
      <c r="F51" s="78"/>
      <c r="G51" s="78"/>
      <c r="H51" s="78"/>
      <c r="I51" s="78"/>
      <c r="J51" s="78"/>
    </row>
    <row r="52" spans="1:10" x14ac:dyDescent="0.35">
      <c r="A52" s="78"/>
      <c r="B52" s="78"/>
      <c r="C52" s="78"/>
      <c r="D52" s="78"/>
      <c r="E52" s="78"/>
      <c r="F52" s="78"/>
      <c r="G52" s="78"/>
      <c r="H52" s="78"/>
      <c r="I52" s="78"/>
      <c r="J52" s="78"/>
    </row>
    <row r="53" spans="1:10" x14ac:dyDescent="0.35">
      <c r="A53" s="78"/>
      <c r="B53" s="78"/>
      <c r="C53" s="78"/>
      <c r="D53" s="78"/>
      <c r="E53" s="78"/>
      <c r="F53" s="78"/>
      <c r="G53" s="78"/>
      <c r="H53" s="78"/>
      <c r="I53" s="78"/>
      <c r="J53" s="78"/>
    </row>
    <row r="54" spans="1:10" x14ac:dyDescent="0.35">
      <c r="A54" s="78"/>
      <c r="B54" s="78"/>
      <c r="C54" s="78"/>
      <c r="D54" s="78"/>
      <c r="E54" s="78"/>
      <c r="F54" s="78"/>
      <c r="G54" s="78"/>
      <c r="H54" s="78"/>
      <c r="I54" s="78"/>
      <c r="J54" s="78"/>
    </row>
    <row r="55" spans="1:10" x14ac:dyDescent="0.35">
      <c r="A55" s="78"/>
      <c r="B55" s="78"/>
      <c r="C55" s="78"/>
      <c r="D55" s="78"/>
      <c r="E55" s="78"/>
      <c r="F55" s="78"/>
      <c r="G55" s="78"/>
      <c r="H55" s="78"/>
      <c r="I55" s="78"/>
      <c r="J55" s="78"/>
    </row>
    <row r="56" spans="1:10" x14ac:dyDescent="0.35">
      <c r="A56" s="78"/>
      <c r="B56" s="78"/>
      <c r="C56" s="78"/>
      <c r="D56" s="78"/>
      <c r="E56" s="78"/>
      <c r="F56" s="78"/>
      <c r="G56" s="78"/>
      <c r="H56" s="78"/>
      <c r="I56" s="78"/>
      <c r="J56" s="78"/>
    </row>
    <row r="57" spans="1:10" x14ac:dyDescent="0.35">
      <c r="A57" s="78"/>
      <c r="B57" s="78"/>
      <c r="C57" s="78"/>
      <c r="D57" s="78"/>
      <c r="E57" s="78"/>
      <c r="F57" s="78"/>
      <c r="G57" s="78"/>
      <c r="H57" s="78"/>
      <c r="I57" s="78"/>
      <c r="J57" s="78"/>
    </row>
    <row r="58" spans="1:10" x14ac:dyDescent="0.35">
      <c r="A58" s="78"/>
      <c r="B58" s="78"/>
      <c r="C58" s="78"/>
      <c r="D58" s="78"/>
      <c r="E58" s="78"/>
      <c r="F58" s="78"/>
      <c r="G58" s="78"/>
      <c r="H58" s="78"/>
      <c r="I58" s="78"/>
      <c r="J58" s="78"/>
    </row>
    <row r="59" spans="1:10" x14ac:dyDescent="0.35">
      <c r="A59" s="78"/>
      <c r="B59" s="78"/>
      <c r="C59" s="78"/>
      <c r="D59" s="78"/>
      <c r="E59" s="78"/>
      <c r="F59" s="78"/>
      <c r="G59" s="78"/>
      <c r="H59" s="78"/>
      <c r="I59" s="78"/>
      <c r="J59" s="78"/>
    </row>
  </sheetData>
  <mergeCells count="24">
    <mergeCell ref="B3:F3"/>
    <mergeCell ref="C16:F16"/>
    <mergeCell ref="C17:F17"/>
    <mergeCell ref="B23:F23"/>
    <mergeCell ref="B19:F19"/>
    <mergeCell ref="C20:F20"/>
    <mergeCell ref="C10:F10"/>
    <mergeCell ref="C14:F14"/>
    <mergeCell ref="C35:F35"/>
    <mergeCell ref="B37:F37"/>
    <mergeCell ref="B1:F1"/>
    <mergeCell ref="B7:F7"/>
    <mergeCell ref="C4:F4"/>
    <mergeCell ref="C13:F13"/>
    <mergeCell ref="B12:F12"/>
    <mergeCell ref="B33:F33"/>
    <mergeCell ref="C34:F34"/>
    <mergeCell ref="C15:F15"/>
    <mergeCell ref="C9:F9"/>
    <mergeCell ref="C21:F21"/>
    <mergeCell ref="C8:F8"/>
    <mergeCell ref="B36:F36"/>
    <mergeCell ref="B2:F2"/>
    <mergeCell ref="C5:F5"/>
  </mergeCells>
  <pageMargins left="0.7" right="0.7" top="0.75" bottom="0.75" header="0.3" footer="0.3"/>
  <pageSetup scale="57" orientation="portrait" r:id="rId1"/>
  <headerFooter>
    <oddFooter>&amp;C&amp;"Aptos"&amp;8 Infosys Ltd Financial Analysis | FY2014–FY2025&amp;RPage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30"/>
  <sheetViews>
    <sheetView showGridLines="0" zoomScale="40" zoomScaleNormal="70" workbookViewId="0">
      <selection activeCell="J18" sqref="J18"/>
    </sheetView>
  </sheetViews>
  <sheetFormatPr defaultRowHeight="21" customHeight="1" outlineLevelRow="1" x14ac:dyDescent="0.35"/>
  <cols>
    <col min="1" max="1" width="28" customWidth="1"/>
    <col min="2" max="6" width="21" style="5" customWidth="1"/>
    <col min="7" max="7" width="21" style="5" bestFit="1" customWidth="1"/>
    <col min="8" max="8" width="21" customWidth="1"/>
    <col min="9" max="9" width="21" style="5" bestFit="1" customWidth="1"/>
    <col min="10" max="13" width="21" customWidth="1"/>
    <col min="14" max="14" width="10" customWidth="1"/>
    <col min="15" max="15" width="8.7265625" style="5" customWidth="1"/>
    <col min="16" max="16384" width="8.7265625" style="5"/>
  </cols>
  <sheetData>
    <row r="1" spans="1:14" ht="28" customHeight="1" x14ac:dyDescent="0.35">
      <c r="A1" s="131" t="s">
        <v>126</v>
      </c>
      <c r="B1" s="131"/>
      <c r="C1" s="131"/>
      <c r="D1" s="131"/>
      <c r="E1" s="131"/>
      <c r="F1" s="131"/>
      <c r="G1" s="131"/>
      <c r="H1" s="131"/>
      <c r="I1" s="131"/>
      <c r="J1" s="131"/>
      <c r="K1" s="131"/>
      <c r="L1" s="131"/>
      <c r="M1" s="131"/>
      <c r="N1" s="131"/>
    </row>
    <row r="2" spans="1:14" ht="21" customHeight="1" x14ac:dyDescent="0.35">
      <c r="A2" s="131"/>
      <c r="B2" s="131"/>
      <c r="C2" s="131"/>
      <c r="D2" s="131"/>
      <c r="E2" s="131"/>
      <c r="F2" s="131"/>
      <c r="G2" s="131"/>
      <c r="H2" s="131"/>
      <c r="I2" s="131"/>
      <c r="J2" s="131"/>
      <c r="K2" s="131"/>
      <c r="L2" s="131"/>
      <c r="M2" s="131"/>
      <c r="N2" s="131"/>
    </row>
    <row r="3" spans="1:14" ht="21" customHeight="1" x14ac:dyDescent="0.35">
      <c r="A3" s="132" t="s">
        <v>43</v>
      </c>
      <c r="B3" s="132"/>
      <c r="C3" s="132"/>
      <c r="D3" s="132"/>
      <c r="E3" s="132"/>
      <c r="F3" s="132"/>
      <c r="G3" s="132"/>
      <c r="H3" s="132"/>
      <c r="I3" s="132"/>
      <c r="J3" s="132"/>
      <c r="K3" s="132"/>
      <c r="L3" s="132"/>
      <c r="M3" s="132"/>
      <c r="N3" s="132"/>
    </row>
    <row r="4" spans="1:14" ht="21" customHeight="1" x14ac:dyDescent="0.35">
      <c r="A4" s="133" t="s">
        <v>127</v>
      </c>
      <c r="B4" s="133"/>
      <c r="C4" s="133"/>
      <c r="D4" s="133"/>
      <c r="E4" s="133"/>
      <c r="F4" s="133"/>
      <c r="G4" s="133"/>
      <c r="H4" s="133"/>
      <c r="I4" s="133"/>
      <c r="J4" s="133"/>
      <c r="K4" s="133"/>
      <c r="L4" s="133"/>
      <c r="M4" s="133"/>
      <c r="N4" s="133"/>
    </row>
    <row r="5" spans="1:14" ht="21" customHeight="1" thickBot="1" x14ac:dyDescent="0.4">
      <c r="A5" s="13"/>
      <c r="B5" s="33">
        <v>41699</v>
      </c>
      <c r="C5" s="33">
        <v>42064</v>
      </c>
      <c r="D5" s="33">
        <v>42430</v>
      </c>
      <c r="E5" s="33">
        <v>42795</v>
      </c>
      <c r="F5" s="33">
        <v>43160</v>
      </c>
      <c r="G5" s="33">
        <v>43525</v>
      </c>
      <c r="H5" s="33">
        <v>43891</v>
      </c>
      <c r="I5" s="33">
        <v>44256</v>
      </c>
      <c r="J5" s="33">
        <v>44621</v>
      </c>
      <c r="K5" s="33">
        <v>44986</v>
      </c>
      <c r="L5" s="33">
        <v>45352</v>
      </c>
      <c r="M5" s="33">
        <v>45717</v>
      </c>
      <c r="N5" s="34" t="s">
        <v>128</v>
      </c>
    </row>
    <row r="6" spans="1:14" ht="21" customHeight="1" x14ac:dyDescent="0.35">
      <c r="A6" s="35" t="s">
        <v>129</v>
      </c>
      <c r="B6" s="36">
        <v>50133</v>
      </c>
      <c r="C6" s="36">
        <v>53319</v>
      </c>
      <c r="D6" s="36">
        <v>62441</v>
      </c>
      <c r="E6" s="36">
        <v>68484</v>
      </c>
      <c r="F6" s="36">
        <v>70522</v>
      </c>
      <c r="G6" s="36">
        <v>82675</v>
      </c>
      <c r="H6" s="36">
        <v>90791</v>
      </c>
      <c r="I6" s="36">
        <v>100472</v>
      </c>
      <c r="J6" s="36">
        <v>121641</v>
      </c>
      <c r="K6" s="36">
        <v>146767</v>
      </c>
      <c r="L6" s="36">
        <v>153670</v>
      </c>
      <c r="M6" s="36">
        <v>162990</v>
      </c>
      <c r="N6" s="36">
        <v>173173</v>
      </c>
    </row>
    <row r="7" spans="1:14" ht="21" customHeight="1" outlineLevel="1" thickBot="1" x14ac:dyDescent="0.4">
      <c r="A7" s="37" t="s">
        <v>130</v>
      </c>
      <c r="B7" s="38">
        <v>0.2424</v>
      </c>
      <c r="C7" s="38">
        <v>6.3600000000000004E-2</v>
      </c>
      <c r="D7" s="38">
        <v>0.1711</v>
      </c>
      <c r="E7" s="38">
        <v>9.6799999999999997E-2</v>
      </c>
      <c r="F7" s="38">
        <v>2.98E-2</v>
      </c>
      <c r="G7" s="38">
        <v>0.17230000000000001</v>
      </c>
      <c r="H7" s="38">
        <v>9.8199999999999996E-2</v>
      </c>
      <c r="I7" s="38">
        <v>0.1066</v>
      </c>
      <c r="J7" s="38">
        <v>0.2107</v>
      </c>
      <c r="K7" s="38">
        <v>0.20660000000000001</v>
      </c>
      <c r="L7" s="38">
        <v>4.7E-2</v>
      </c>
      <c r="M7" s="38">
        <v>6.0600000000000001E-2</v>
      </c>
      <c r="N7" s="2"/>
    </row>
    <row r="8" spans="1:14" ht="21" customHeight="1" x14ac:dyDescent="0.35">
      <c r="A8" s="39" t="s">
        <v>131</v>
      </c>
      <c r="B8" s="40">
        <v>36743</v>
      </c>
      <c r="C8" s="40">
        <v>38436</v>
      </c>
      <c r="D8" s="40">
        <v>45362</v>
      </c>
      <c r="E8" s="40">
        <v>49880</v>
      </c>
      <c r="F8" s="40">
        <v>51700</v>
      </c>
      <c r="G8" s="40">
        <v>62505</v>
      </c>
      <c r="H8" s="40">
        <v>68524</v>
      </c>
      <c r="I8" s="40">
        <v>72583</v>
      </c>
      <c r="J8" s="40">
        <v>90150</v>
      </c>
      <c r="K8" s="40">
        <v>111637</v>
      </c>
      <c r="L8" s="40">
        <v>117245</v>
      </c>
      <c r="M8" s="40">
        <v>123754</v>
      </c>
      <c r="N8" s="40">
        <v>132187</v>
      </c>
    </row>
    <row r="9" spans="1:14" ht="21" customHeight="1" outlineLevel="1" x14ac:dyDescent="0.35">
      <c r="A9" s="41" t="s">
        <v>132</v>
      </c>
      <c r="B9" s="42">
        <v>7.0000000000000007E-2</v>
      </c>
      <c r="C9" s="42">
        <v>0.08</v>
      </c>
      <c r="D9" s="42">
        <v>0.1</v>
      </c>
      <c r="E9" s="42">
        <v>0.1</v>
      </c>
      <c r="F9" s="42">
        <v>0.11</v>
      </c>
      <c r="G9" s="42">
        <v>0.12</v>
      </c>
      <c r="H9" s="42">
        <v>0.12</v>
      </c>
      <c r="I9" s="42">
        <v>0.13</v>
      </c>
      <c r="J9" s="42">
        <v>0.17</v>
      </c>
      <c r="K9" s="42">
        <v>0.18</v>
      </c>
      <c r="L9" s="42">
        <v>0.18</v>
      </c>
      <c r="M9" s="42">
        <v>0.19</v>
      </c>
      <c r="N9" s="3"/>
    </row>
    <row r="10" spans="1:14" ht="21" customHeight="1" outlineLevel="1" x14ac:dyDescent="0.35">
      <c r="A10" s="41" t="s">
        <v>133</v>
      </c>
      <c r="B10" s="42">
        <v>0.57999999999999996</v>
      </c>
      <c r="C10" s="42">
        <v>0.56000000000000005</v>
      </c>
      <c r="D10" s="42">
        <v>0.55000000000000004</v>
      </c>
      <c r="E10" s="42">
        <v>0.55000000000000004</v>
      </c>
      <c r="F10" s="42">
        <v>0.55000000000000004</v>
      </c>
      <c r="G10" s="42">
        <v>0.55000000000000004</v>
      </c>
      <c r="H10" s="42">
        <v>0.56000000000000005</v>
      </c>
      <c r="I10" s="42">
        <v>0.55000000000000004</v>
      </c>
      <c r="J10" s="42">
        <v>0.53</v>
      </c>
      <c r="K10" s="42">
        <v>0.53</v>
      </c>
      <c r="L10" s="42">
        <v>0.54</v>
      </c>
      <c r="M10" s="42">
        <v>0.53</v>
      </c>
      <c r="N10" s="3"/>
    </row>
    <row r="11" spans="1:14" ht="21" customHeight="1" outlineLevel="1" thickBot="1" x14ac:dyDescent="0.4">
      <c r="A11" s="41" t="s">
        <v>134</v>
      </c>
      <c r="B11" s="42">
        <v>0.09</v>
      </c>
      <c r="C11" s="42">
        <v>0.08</v>
      </c>
      <c r="D11" s="42">
        <v>0.08</v>
      </c>
      <c r="E11" s="42">
        <v>0.08</v>
      </c>
      <c r="F11" s="42">
        <v>0.08</v>
      </c>
      <c r="G11" s="42">
        <v>0.09</v>
      </c>
      <c r="H11" s="42">
        <v>7.0000000000000007E-2</v>
      </c>
      <c r="I11" s="42">
        <v>0.04</v>
      </c>
      <c r="J11" s="42">
        <v>0.04</v>
      </c>
      <c r="K11" s="42">
        <v>0.05</v>
      </c>
      <c r="L11" s="42">
        <v>0.05</v>
      </c>
      <c r="M11" s="42">
        <v>0.04</v>
      </c>
      <c r="N11" s="3"/>
    </row>
    <row r="12" spans="1:14" ht="21" customHeight="1" x14ac:dyDescent="0.35">
      <c r="A12" s="43" t="s">
        <v>135</v>
      </c>
      <c r="B12" s="44">
        <v>13390</v>
      </c>
      <c r="C12" s="44">
        <v>14883</v>
      </c>
      <c r="D12" s="44">
        <v>17079</v>
      </c>
      <c r="E12" s="44">
        <v>18604</v>
      </c>
      <c r="F12" s="44">
        <v>18822</v>
      </c>
      <c r="G12" s="44">
        <v>20170</v>
      </c>
      <c r="H12" s="44">
        <v>22267</v>
      </c>
      <c r="I12" s="44">
        <v>27889</v>
      </c>
      <c r="J12" s="44">
        <v>31491</v>
      </c>
      <c r="K12" s="44">
        <v>35130</v>
      </c>
      <c r="L12" s="44">
        <v>36425</v>
      </c>
      <c r="M12" s="44">
        <v>39236</v>
      </c>
      <c r="N12" s="44">
        <v>40986</v>
      </c>
    </row>
    <row r="13" spans="1:14" ht="21" customHeight="1" thickBot="1" x14ac:dyDescent="0.4">
      <c r="A13" s="41" t="s">
        <v>136</v>
      </c>
      <c r="B13" s="42">
        <v>0.27</v>
      </c>
      <c r="C13" s="42">
        <v>0.28000000000000003</v>
      </c>
      <c r="D13" s="42">
        <v>0.27</v>
      </c>
      <c r="E13" s="42">
        <v>0.27</v>
      </c>
      <c r="F13" s="42">
        <v>0.27</v>
      </c>
      <c r="G13" s="42">
        <v>0.24</v>
      </c>
      <c r="H13" s="42">
        <v>0.25</v>
      </c>
      <c r="I13" s="42">
        <v>0.28000000000000003</v>
      </c>
      <c r="J13" s="42">
        <v>0.26</v>
      </c>
      <c r="K13" s="42">
        <v>0.24</v>
      </c>
      <c r="L13" s="42">
        <v>0.24</v>
      </c>
      <c r="M13" s="42">
        <v>0.24</v>
      </c>
      <c r="N13" s="42">
        <v>0.24</v>
      </c>
    </row>
    <row r="14" spans="1:14" ht="21" customHeight="1" x14ac:dyDescent="0.35">
      <c r="A14" s="35" t="s">
        <v>137</v>
      </c>
      <c r="B14" s="36">
        <v>2664</v>
      </c>
      <c r="C14" s="36">
        <v>3430</v>
      </c>
      <c r="D14" s="36">
        <v>3120</v>
      </c>
      <c r="E14" s="36">
        <v>3050</v>
      </c>
      <c r="F14" s="36">
        <v>3311</v>
      </c>
      <c r="G14" s="36">
        <v>2882</v>
      </c>
      <c r="H14" s="36">
        <v>2803</v>
      </c>
      <c r="I14" s="36">
        <v>2201</v>
      </c>
      <c r="J14" s="36">
        <v>2295</v>
      </c>
      <c r="K14" s="36">
        <v>2701</v>
      </c>
      <c r="L14" s="36">
        <v>4711</v>
      </c>
      <c r="M14" s="36">
        <v>3600</v>
      </c>
      <c r="N14" s="36">
        <v>3064</v>
      </c>
    </row>
    <row r="15" spans="1:14" ht="21" customHeight="1" outlineLevel="1" x14ac:dyDescent="0.35">
      <c r="A15" s="37" t="s">
        <v>138</v>
      </c>
      <c r="B15" s="38">
        <v>0</v>
      </c>
      <c r="C15" s="38">
        <v>14</v>
      </c>
      <c r="D15" s="38">
        <v>0</v>
      </c>
      <c r="E15" s="38">
        <v>238</v>
      </c>
      <c r="F15" s="38">
        <v>253</v>
      </c>
      <c r="G15" s="38">
        <v>170</v>
      </c>
      <c r="H15" s="38">
        <v>183</v>
      </c>
      <c r="I15" s="38">
        <v>74</v>
      </c>
      <c r="J15" s="38">
        <v>177</v>
      </c>
      <c r="K15" s="38">
        <v>148</v>
      </c>
      <c r="L15" s="38">
        <v>285</v>
      </c>
      <c r="M15" s="38">
        <v>291</v>
      </c>
      <c r="N15" s="2"/>
    </row>
    <row r="16" spans="1:14" ht="21" customHeight="1" outlineLevel="1" x14ac:dyDescent="0.35">
      <c r="A16" s="37" t="s">
        <v>139</v>
      </c>
      <c r="B16" s="38">
        <v>2664</v>
      </c>
      <c r="C16" s="38">
        <v>3416</v>
      </c>
      <c r="D16" s="38">
        <v>3120</v>
      </c>
      <c r="E16" s="38">
        <v>2812</v>
      </c>
      <c r="F16" s="38">
        <v>3058</v>
      </c>
      <c r="G16" s="38">
        <v>2712</v>
      </c>
      <c r="H16" s="38">
        <v>2620</v>
      </c>
      <c r="I16" s="38">
        <v>2127</v>
      </c>
      <c r="J16" s="38">
        <v>2118</v>
      </c>
      <c r="K16" s="38">
        <v>2553</v>
      </c>
      <c r="L16" s="38">
        <v>4426</v>
      </c>
      <c r="M16" s="38">
        <v>3309</v>
      </c>
      <c r="N16" s="2"/>
    </row>
    <row r="17" spans="1:14" ht="21" customHeight="1" x14ac:dyDescent="0.35">
      <c r="A17" s="41" t="s">
        <v>140</v>
      </c>
      <c r="B17" s="42">
        <v>9</v>
      </c>
      <c r="C17" s="42">
        <v>12</v>
      </c>
      <c r="D17" s="42">
        <v>0</v>
      </c>
      <c r="E17" s="42">
        <v>0</v>
      </c>
      <c r="F17" s="42">
        <v>0</v>
      </c>
      <c r="G17" s="42">
        <v>0</v>
      </c>
      <c r="H17" s="42">
        <v>170</v>
      </c>
      <c r="I17" s="42">
        <v>195</v>
      </c>
      <c r="J17" s="42">
        <v>200</v>
      </c>
      <c r="K17" s="42">
        <v>284</v>
      </c>
      <c r="L17" s="42">
        <v>470</v>
      </c>
      <c r="M17" s="42">
        <v>416</v>
      </c>
      <c r="N17" s="42">
        <v>413</v>
      </c>
    </row>
    <row r="18" spans="1:14" ht="21" customHeight="1" thickBot="1" x14ac:dyDescent="0.4">
      <c r="A18" s="37" t="s">
        <v>141</v>
      </c>
      <c r="B18" s="38">
        <v>1317</v>
      </c>
      <c r="C18" s="38">
        <v>1017</v>
      </c>
      <c r="D18" s="38">
        <v>1459</v>
      </c>
      <c r="E18" s="38">
        <v>1703</v>
      </c>
      <c r="F18" s="38">
        <v>1863</v>
      </c>
      <c r="G18" s="38">
        <v>2011</v>
      </c>
      <c r="H18" s="38">
        <v>2893</v>
      </c>
      <c r="I18" s="38">
        <v>3267</v>
      </c>
      <c r="J18" s="38">
        <v>3476</v>
      </c>
      <c r="K18" s="38">
        <v>4225</v>
      </c>
      <c r="L18" s="38">
        <v>4678</v>
      </c>
      <c r="M18" s="38">
        <v>4812</v>
      </c>
      <c r="N18" s="38">
        <v>4776</v>
      </c>
    </row>
    <row r="19" spans="1:14" s="15" customFormat="1" ht="21" customHeight="1" x14ac:dyDescent="0.35">
      <c r="A19" s="45" t="s">
        <v>142</v>
      </c>
      <c r="B19" s="46">
        <v>14728</v>
      </c>
      <c r="C19" s="46">
        <v>17284</v>
      </c>
      <c r="D19" s="46">
        <v>18740</v>
      </c>
      <c r="E19" s="46">
        <v>19951</v>
      </c>
      <c r="F19" s="46">
        <v>20270</v>
      </c>
      <c r="G19" s="46">
        <v>21041</v>
      </c>
      <c r="H19" s="46">
        <v>22007</v>
      </c>
      <c r="I19" s="46">
        <v>26628</v>
      </c>
      <c r="J19" s="46">
        <v>30110</v>
      </c>
      <c r="K19" s="46">
        <v>33322</v>
      </c>
      <c r="L19" s="46">
        <v>35988</v>
      </c>
      <c r="M19" s="46">
        <v>37608</v>
      </c>
      <c r="N19" s="46">
        <v>38861</v>
      </c>
    </row>
    <row r="20" spans="1:14" ht="21" customHeight="1" thickBot="1" x14ac:dyDescent="0.4">
      <c r="A20" s="37" t="s">
        <v>143</v>
      </c>
      <c r="B20" s="38">
        <v>0.28000000000000003</v>
      </c>
      <c r="C20" s="38">
        <v>0.28000000000000003</v>
      </c>
      <c r="D20" s="38">
        <v>0.28000000000000003</v>
      </c>
      <c r="E20" s="38">
        <v>0.28000000000000003</v>
      </c>
      <c r="F20" s="38">
        <v>0.21</v>
      </c>
      <c r="G20" s="38">
        <v>0.27</v>
      </c>
      <c r="H20" s="38">
        <v>0.24</v>
      </c>
      <c r="I20" s="38">
        <v>0.27</v>
      </c>
      <c r="J20" s="38">
        <v>0.26</v>
      </c>
      <c r="K20" s="38">
        <v>0.28000000000000003</v>
      </c>
      <c r="L20" s="38">
        <v>0.27</v>
      </c>
      <c r="M20" s="38">
        <v>0.28999999999999998</v>
      </c>
      <c r="N20" s="2"/>
    </row>
    <row r="21" spans="1:14" s="15" customFormat="1" ht="21" customHeight="1" x14ac:dyDescent="0.35">
      <c r="A21" s="45" t="s">
        <v>144</v>
      </c>
      <c r="B21" s="46">
        <v>10656</v>
      </c>
      <c r="C21" s="46">
        <v>12372</v>
      </c>
      <c r="D21" s="46">
        <v>13489</v>
      </c>
      <c r="E21" s="46">
        <v>14353</v>
      </c>
      <c r="F21" s="46">
        <v>16029</v>
      </c>
      <c r="G21" s="46">
        <v>15410</v>
      </c>
      <c r="H21" s="46">
        <v>16639</v>
      </c>
      <c r="I21" s="46">
        <v>19423</v>
      </c>
      <c r="J21" s="46">
        <v>22146</v>
      </c>
      <c r="K21" s="46">
        <v>24108</v>
      </c>
      <c r="L21" s="46">
        <v>26248</v>
      </c>
      <c r="M21" s="46">
        <v>26750</v>
      </c>
      <c r="N21" s="46">
        <v>28003</v>
      </c>
    </row>
    <row r="22" spans="1:14" ht="21" customHeight="1" outlineLevel="1" x14ac:dyDescent="0.35">
      <c r="A22" s="41" t="s">
        <v>145</v>
      </c>
      <c r="B22" s="42">
        <v>0</v>
      </c>
      <c r="C22" s="42">
        <v>-1</v>
      </c>
      <c r="D22" s="42">
        <v>0</v>
      </c>
      <c r="E22" s="42">
        <v>0</v>
      </c>
      <c r="F22" s="42">
        <v>0</v>
      </c>
      <c r="G22" s="42">
        <v>0</v>
      </c>
      <c r="H22" s="42">
        <v>0</v>
      </c>
      <c r="I22" s="42">
        <v>0</v>
      </c>
      <c r="J22" s="42">
        <v>0</v>
      </c>
      <c r="K22" s="42">
        <v>0</v>
      </c>
      <c r="L22" s="42">
        <v>0</v>
      </c>
      <c r="M22" s="42">
        <v>0</v>
      </c>
      <c r="N22" s="3"/>
    </row>
    <row r="23" spans="1:14" ht="21" customHeight="1" outlineLevel="1" x14ac:dyDescent="0.35">
      <c r="A23" s="41" t="s">
        <v>146</v>
      </c>
      <c r="B23" s="42">
        <v>0</v>
      </c>
      <c r="C23" s="42">
        <v>0</v>
      </c>
      <c r="D23" s="42">
        <v>0</v>
      </c>
      <c r="E23" s="42">
        <v>0</v>
      </c>
      <c r="F23" s="42">
        <v>0</v>
      </c>
      <c r="G23" s="42">
        <v>-6</v>
      </c>
      <c r="H23" s="42">
        <v>-45</v>
      </c>
      <c r="I23" s="42">
        <v>-72</v>
      </c>
      <c r="J23" s="42">
        <v>-36</v>
      </c>
      <c r="K23" s="42">
        <v>-13</v>
      </c>
      <c r="L23" s="42">
        <v>-15</v>
      </c>
      <c r="M23" s="42">
        <v>-37</v>
      </c>
      <c r="N23" s="3"/>
    </row>
    <row r="24" spans="1:14" ht="21" customHeight="1" outlineLevel="1" x14ac:dyDescent="0.35">
      <c r="A24" s="41" t="s">
        <v>147</v>
      </c>
      <c r="B24" s="42">
        <v>0</v>
      </c>
      <c r="C24" s="42">
        <v>10</v>
      </c>
      <c r="D24" s="42">
        <v>0</v>
      </c>
      <c r="E24" s="42">
        <v>171</v>
      </c>
      <c r="F24" s="42">
        <v>196</v>
      </c>
      <c r="G24" s="42">
        <v>124</v>
      </c>
      <c r="H24" s="42">
        <v>135</v>
      </c>
      <c r="I24" s="42">
        <v>54</v>
      </c>
      <c r="J24" s="42">
        <v>130</v>
      </c>
      <c r="K24" s="42">
        <v>107</v>
      </c>
      <c r="L24" s="42">
        <v>208</v>
      </c>
      <c r="M24" s="42">
        <v>197</v>
      </c>
      <c r="N24" s="3"/>
    </row>
    <row r="25" spans="1:14" ht="21" customHeight="1" outlineLevel="1" x14ac:dyDescent="0.35">
      <c r="A25" s="41" t="s">
        <v>148</v>
      </c>
      <c r="B25" s="42">
        <v>10656</v>
      </c>
      <c r="C25" s="42">
        <v>12362</v>
      </c>
      <c r="D25" s="42">
        <v>13489</v>
      </c>
      <c r="E25" s="42">
        <v>14182</v>
      </c>
      <c r="F25" s="42">
        <v>15833</v>
      </c>
      <c r="G25" s="42">
        <v>15286</v>
      </c>
      <c r="H25" s="42">
        <v>16504</v>
      </c>
      <c r="I25" s="42">
        <v>19369</v>
      </c>
      <c r="J25" s="42">
        <v>22016</v>
      </c>
      <c r="K25" s="42">
        <v>24001</v>
      </c>
      <c r="L25" s="42">
        <v>26040</v>
      </c>
      <c r="M25" s="42">
        <v>26553</v>
      </c>
      <c r="N25" s="3"/>
    </row>
    <row r="26" spans="1:14" ht="21" customHeight="1" outlineLevel="1" x14ac:dyDescent="0.35">
      <c r="A26" s="41" t="s">
        <v>149</v>
      </c>
      <c r="B26" s="42">
        <v>10656</v>
      </c>
      <c r="C26" s="42">
        <v>12362</v>
      </c>
      <c r="D26" s="42">
        <v>13489</v>
      </c>
      <c r="E26" s="42">
        <v>14182</v>
      </c>
      <c r="F26" s="42">
        <v>15833</v>
      </c>
      <c r="G26" s="42">
        <v>15280</v>
      </c>
      <c r="H26" s="42">
        <v>16459</v>
      </c>
      <c r="I26" s="42">
        <v>19297</v>
      </c>
      <c r="J26" s="42">
        <v>21980</v>
      </c>
      <c r="K26" s="42">
        <v>23988</v>
      </c>
      <c r="L26" s="42">
        <v>26025</v>
      </c>
      <c r="M26" s="42">
        <v>26516</v>
      </c>
      <c r="N26" s="3"/>
    </row>
    <row r="27" spans="1:14" ht="21" customHeight="1" outlineLevel="1" x14ac:dyDescent="0.35">
      <c r="A27" s="41" t="s">
        <v>150</v>
      </c>
      <c r="B27" s="42">
        <v>10656</v>
      </c>
      <c r="C27" s="42">
        <v>12372</v>
      </c>
      <c r="D27" s="42">
        <v>13489</v>
      </c>
      <c r="E27" s="42">
        <v>14353</v>
      </c>
      <c r="F27" s="42">
        <v>16029</v>
      </c>
      <c r="G27" s="42">
        <v>15404</v>
      </c>
      <c r="H27" s="42">
        <v>16594</v>
      </c>
      <c r="I27" s="42">
        <v>19351</v>
      </c>
      <c r="J27" s="42">
        <v>22110</v>
      </c>
      <c r="K27" s="42">
        <v>24095</v>
      </c>
      <c r="L27" s="42">
        <v>26233</v>
      </c>
      <c r="M27" s="42">
        <v>26713</v>
      </c>
      <c r="N27" s="3"/>
    </row>
    <row r="28" spans="1:14" ht="21" customHeight="1" outlineLevel="1" x14ac:dyDescent="0.35">
      <c r="A28" s="41" t="s">
        <v>151</v>
      </c>
      <c r="B28" s="42">
        <v>0.13</v>
      </c>
      <c r="C28" s="42">
        <v>0.16</v>
      </c>
      <c r="D28" s="42">
        <v>0.09</v>
      </c>
      <c r="E28" s="42">
        <v>0.05</v>
      </c>
      <c r="F28" s="42">
        <v>0.12</v>
      </c>
      <c r="G28" s="42">
        <v>-0.03</v>
      </c>
      <c r="H28" s="42">
        <v>0.08</v>
      </c>
      <c r="I28" s="42">
        <v>0.17</v>
      </c>
      <c r="J28" s="42">
        <v>0.14000000000000001</v>
      </c>
      <c r="K28" s="42">
        <v>0.09</v>
      </c>
      <c r="L28" s="42">
        <v>0.08</v>
      </c>
      <c r="M28" s="42">
        <v>0.02</v>
      </c>
      <c r="N28" s="3"/>
    </row>
    <row r="29" spans="1:14" ht="21" customHeight="1" x14ac:dyDescent="0.35">
      <c r="A29" s="37" t="s">
        <v>152</v>
      </c>
      <c r="B29" s="38">
        <v>23.31</v>
      </c>
      <c r="C29" s="38">
        <v>26.93</v>
      </c>
      <c r="D29" s="38">
        <v>29.36</v>
      </c>
      <c r="E29" s="38">
        <v>31.24</v>
      </c>
      <c r="F29" s="38">
        <v>36.69</v>
      </c>
      <c r="G29" s="38">
        <v>35.26</v>
      </c>
      <c r="H29" s="38">
        <v>38.96</v>
      </c>
      <c r="I29" s="38">
        <v>45.42</v>
      </c>
      <c r="J29" s="38">
        <v>52.56</v>
      </c>
      <c r="K29" s="38">
        <v>58.08</v>
      </c>
      <c r="L29" s="38">
        <v>63.2</v>
      </c>
      <c r="M29" s="38">
        <v>64.319999999999993</v>
      </c>
      <c r="N29" s="38">
        <v>67.73</v>
      </c>
    </row>
    <row r="30" spans="1:14" ht="21" customHeight="1" x14ac:dyDescent="0.35">
      <c r="A30" s="41" t="s">
        <v>153</v>
      </c>
      <c r="B30" s="42">
        <v>0.34</v>
      </c>
      <c r="C30" s="42">
        <v>0.55000000000000004</v>
      </c>
      <c r="D30" s="42">
        <v>0.41</v>
      </c>
      <c r="E30" s="42">
        <v>0.41</v>
      </c>
      <c r="F30" s="42">
        <v>0.59</v>
      </c>
      <c r="G30" s="42">
        <v>0.6</v>
      </c>
      <c r="H30" s="42">
        <v>0.45</v>
      </c>
      <c r="I30" s="42">
        <v>0.59</v>
      </c>
      <c r="J30" s="42">
        <v>0.59</v>
      </c>
      <c r="K30" s="42">
        <v>0.57999999999999996</v>
      </c>
      <c r="L30" s="42">
        <v>0.73</v>
      </c>
      <c r="M30" s="42">
        <v>0.67</v>
      </c>
      <c r="N30" s="6"/>
    </row>
  </sheetData>
  <autoFilter ref="A5:N30" xr:uid="{00000000-0009-0000-0000-000003000000}"/>
  <mergeCells count="3">
    <mergeCell ref="A1:N2"/>
    <mergeCell ref="A3:N3"/>
    <mergeCell ref="A4:N4"/>
  </mergeCells>
  <pageMargins left="0.25" right="0.25" top="0.4" bottom="0.4" header="0.15" footer="0.15"/>
  <pageSetup scale="46" fitToHeight="0" orientation="landscape" r:id="rId1"/>
  <headerFooter>
    <oddFooter>&amp;C&amp;"Aptos"&amp;8 Infosys Ltd Financial Analysis | FY2014–FY2025&amp;RPage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30"/>
  <sheetViews>
    <sheetView showGridLines="0" zoomScale="40" zoomScaleNormal="82" workbookViewId="0">
      <selection activeCell="J18" sqref="J18"/>
    </sheetView>
  </sheetViews>
  <sheetFormatPr defaultRowHeight="21" customHeight="1" outlineLevelRow="1" x14ac:dyDescent="0.35"/>
  <cols>
    <col min="1" max="1" width="28" customWidth="1"/>
    <col min="2" max="2" width="21" style="14" bestFit="1" customWidth="1"/>
    <col min="3" max="4" width="21" customWidth="1"/>
    <col min="5" max="5" width="21" style="14" bestFit="1" customWidth="1"/>
    <col min="6" max="8" width="21" customWidth="1"/>
    <col min="9" max="10" width="21" style="14" bestFit="1" customWidth="1"/>
    <col min="11" max="13" width="21" customWidth="1"/>
    <col min="14" max="14" width="10" customWidth="1"/>
  </cols>
  <sheetData>
    <row r="1" spans="1:14" ht="28" customHeight="1" x14ac:dyDescent="0.35">
      <c r="A1" s="134" t="s">
        <v>126</v>
      </c>
      <c r="B1" s="134"/>
      <c r="C1" s="134"/>
      <c r="D1" s="134"/>
      <c r="E1" s="134"/>
      <c r="F1" s="134"/>
      <c r="G1" s="134"/>
      <c r="H1" s="134"/>
      <c r="I1" s="134"/>
      <c r="J1" s="134"/>
      <c r="K1" s="134"/>
      <c r="L1" s="134"/>
      <c r="M1" s="134"/>
      <c r="N1" s="134"/>
    </row>
    <row r="2" spans="1:14" ht="18" customHeight="1" x14ac:dyDescent="0.35">
      <c r="A2" s="134"/>
      <c r="B2" s="134"/>
      <c r="C2" s="134"/>
      <c r="D2" s="134"/>
      <c r="E2" s="134"/>
      <c r="F2" s="134"/>
      <c r="G2" s="134"/>
      <c r="H2" s="134"/>
      <c r="I2" s="134"/>
      <c r="J2" s="134"/>
      <c r="K2" s="134"/>
      <c r="L2" s="134"/>
      <c r="M2" s="134"/>
      <c r="N2" s="134"/>
    </row>
    <row r="3" spans="1:14" ht="21" customHeight="1" x14ac:dyDescent="0.35">
      <c r="A3" s="132" t="s">
        <v>154</v>
      </c>
      <c r="B3" s="132"/>
      <c r="C3" s="132"/>
      <c r="D3" s="132"/>
      <c r="E3" s="132"/>
      <c r="F3" s="132"/>
      <c r="G3" s="132"/>
      <c r="H3" s="132"/>
      <c r="I3" s="132"/>
      <c r="J3" s="132"/>
      <c r="K3" s="132"/>
      <c r="L3" s="132"/>
      <c r="M3" s="132"/>
      <c r="N3" s="132"/>
    </row>
    <row r="4" spans="1:14" ht="21" customHeight="1" x14ac:dyDescent="0.35">
      <c r="A4" s="135" t="s">
        <v>155</v>
      </c>
      <c r="B4" s="135"/>
      <c r="C4" s="135"/>
      <c r="D4" s="135"/>
      <c r="E4" s="135"/>
      <c r="F4" s="135"/>
      <c r="G4" s="135"/>
      <c r="H4" s="135"/>
      <c r="I4" s="135"/>
      <c r="J4" s="135"/>
      <c r="K4" s="135"/>
      <c r="L4" s="135"/>
      <c r="M4" s="135"/>
      <c r="N4" s="135"/>
    </row>
    <row r="5" spans="1:14" ht="21" customHeight="1" thickBot="1" x14ac:dyDescent="0.4">
      <c r="A5" s="1"/>
      <c r="B5" s="33">
        <v>41699</v>
      </c>
      <c r="C5" s="33">
        <v>42064</v>
      </c>
      <c r="D5" s="33">
        <v>42430</v>
      </c>
      <c r="E5" s="33">
        <v>42795</v>
      </c>
      <c r="F5" s="33">
        <v>43160</v>
      </c>
      <c r="G5" s="33">
        <v>43525</v>
      </c>
      <c r="H5" s="33">
        <v>43891</v>
      </c>
      <c r="I5" s="33">
        <v>44256</v>
      </c>
      <c r="J5" s="33">
        <v>44621</v>
      </c>
      <c r="K5" s="33">
        <v>44986</v>
      </c>
      <c r="L5" s="33">
        <v>45352</v>
      </c>
      <c r="M5" s="33">
        <v>45717</v>
      </c>
    </row>
    <row r="6" spans="1:14" s="16" customFormat="1" ht="21" customHeight="1" thickBot="1" x14ac:dyDescent="0.4">
      <c r="A6" s="43" t="s">
        <v>156</v>
      </c>
      <c r="B6" s="44">
        <v>9825</v>
      </c>
      <c r="C6" s="44">
        <v>8353</v>
      </c>
      <c r="D6" s="44">
        <v>10028</v>
      </c>
      <c r="E6" s="44">
        <v>11531</v>
      </c>
      <c r="F6" s="44">
        <v>13218</v>
      </c>
      <c r="G6" s="44">
        <v>14841</v>
      </c>
      <c r="H6" s="44">
        <v>17003</v>
      </c>
      <c r="I6" s="44">
        <v>23224</v>
      </c>
      <c r="J6" s="44">
        <v>23885</v>
      </c>
      <c r="K6" s="44">
        <v>22467</v>
      </c>
      <c r="L6" s="44">
        <v>25210</v>
      </c>
      <c r="M6" s="44">
        <v>35694</v>
      </c>
    </row>
    <row r="7" spans="1:14" s="16" customFormat="1" ht="21" customHeight="1" outlineLevel="1" x14ac:dyDescent="0.35">
      <c r="A7" s="47" t="s">
        <v>157</v>
      </c>
      <c r="B7" s="44">
        <v>14172</v>
      </c>
      <c r="C7" s="44">
        <v>15946</v>
      </c>
      <c r="D7" s="44">
        <v>17839</v>
      </c>
      <c r="E7" s="44">
        <v>19340</v>
      </c>
      <c r="F7" s="44">
        <v>19963</v>
      </c>
      <c r="G7" s="44">
        <v>22126</v>
      </c>
      <c r="H7" s="44">
        <v>23920</v>
      </c>
      <c r="I7" s="44">
        <v>28845</v>
      </c>
      <c r="J7" s="44">
        <v>32921</v>
      </c>
      <c r="K7" s="44">
        <v>37605</v>
      </c>
      <c r="L7" s="44">
        <v>39523</v>
      </c>
      <c r="M7" s="44">
        <v>41591</v>
      </c>
    </row>
    <row r="8" spans="1:14" ht="21" customHeight="1" outlineLevel="1" x14ac:dyDescent="0.35">
      <c r="A8" s="37" t="s">
        <v>158</v>
      </c>
      <c r="B8" s="38">
        <v>-1406</v>
      </c>
      <c r="C8" s="38">
        <v>-1475</v>
      </c>
      <c r="D8" s="38">
        <v>-1654</v>
      </c>
      <c r="E8" s="38">
        <v>-1743</v>
      </c>
      <c r="F8" s="38">
        <v>-1523</v>
      </c>
      <c r="G8" s="38">
        <v>-2881</v>
      </c>
      <c r="H8" s="38">
        <v>-3861</v>
      </c>
      <c r="I8" s="38">
        <v>-1835</v>
      </c>
      <c r="J8" s="38">
        <v>-7937</v>
      </c>
      <c r="K8" s="38">
        <v>-7076</v>
      </c>
      <c r="L8" s="38">
        <v>-2667</v>
      </c>
      <c r="M8" s="38">
        <v>-1769</v>
      </c>
    </row>
    <row r="9" spans="1:14" ht="21" customHeight="1" outlineLevel="1" x14ac:dyDescent="0.35">
      <c r="A9" s="37" t="s">
        <v>159</v>
      </c>
      <c r="B9" s="38">
        <v>0</v>
      </c>
      <c r="C9" s="38">
        <v>0</v>
      </c>
      <c r="D9" s="38">
        <v>242</v>
      </c>
      <c r="E9" s="38">
        <v>-19</v>
      </c>
      <c r="F9" s="38">
        <v>328</v>
      </c>
      <c r="G9" s="38">
        <v>916</v>
      </c>
      <c r="H9" s="38">
        <v>-373</v>
      </c>
      <c r="I9" s="38">
        <v>-245</v>
      </c>
      <c r="J9" s="38">
        <v>1489</v>
      </c>
      <c r="K9" s="38">
        <v>-279</v>
      </c>
      <c r="L9" s="38">
        <v>91</v>
      </c>
      <c r="M9" s="38">
        <v>176</v>
      </c>
    </row>
    <row r="10" spans="1:14" ht="21" customHeight="1" outlineLevel="1" x14ac:dyDescent="0.35">
      <c r="A10" s="37" t="s">
        <v>160</v>
      </c>
      <c r="B10" s="38">
        <v>-1060</v>
      </c>
      <c r="C10" s="38">
        <v>-221</v>
      </c>
      <c r="D10" s="38">
        <v>-1134</v>
      </c>
      <c r="E10" s="38">
        <v>0</v>
      </c>
      <c r="F10" s="38">
        <v>0</v>
      </c>
      <c r="G10" s="38">
        <v>0</v>
      </c>
      <c r="H10" s="38">
        <v>0</v>
      </c>
      <c r="I10" s="38">
        <v>-534</v>
      </c>
      <c r="J10" s="38">
        <v>-1914</v>
      </c>
      <c r="K10" s="38">
        <v>-3108</v>
      </c>
      <c r="L10" s="38">
        <v>-1172</v>
      </c>
      <c r="M10" s="38">
        <v>-1024</v>
      </c>
    </row>
    <row r="11" spans="1:14" ht="21" customHeight="1" outlineLevel="1" thickBot="1" x14ac:dyDescent="0.4">
      <c r="A11" s="37" t="s">
        <v>161</v>
      </c>
      <c r="B11" s="38">
        <v>1993</v>
      </c>
      <c r="C11" s="38">
        <v>854</v>
      </c>
      <c r="D11" s="38">
        <v>600</v>
      </c>
      <c r="E11" s="38">
        <v>-394</v>
      </c>
      <c r="F11" s="38">
        <v>1279</v>
      </c>
      <c r="G11" s="38">
        <v>1512</v>
      </c>
      <c r="H11" s="38">
        <v>1867</v>
      </c>
      <c r="I11" s="38">
        <v>3382</v>
      </c>
      <c r="J11" s="38">
        <v>6938</v>
      </c>
      <c r="K11" s="38">
        <v>4119</v>
      </c>
      <c r="L11" s="38">
        <v>-1334</v>
      </c>
      <c r="M11" s="38">
        <v>2322</v>
      </c>
    </row>
    <row r="12" spans="1:14" s="16" customFormat="1" ht="21" customHeight="1" outlineLevel="1" x14ac:dyDescent="0.35">
      <c r="A12" s="47" t="s">
        <v>162</v>
      </c>
      <c r="B12" s="44">
        <v>-473</v>
      </c>
      <c r="C12" s="44">
        <v>-842</v>
      </c>
      <c r="D12" s="44">
        <v>-1946</v>
      </c>
      <c r="E12" s="44">
        <v>-2156</v>
      </c>
      <c r="F12" s="44">
        <v>84</v>
      </c>
      <c r="G12" s="44">
        <v>-453</v>
      </c>
      <c r="H12" s="44">
        <v>-2367</v>
      </c>
      <c r="I12" s="44">
        <v>768</v>
      </c>
      <c r="J12" s="44">
        <v>-1424</v>
      </c>
      <c r="K12" s="44">
        <v>-6344</v>
      </c>
      <c r="L12" s="44">
        <v>-5082</v>
      </c>
      <c r="M12" s="44">
        <v>-295</v>
      </c>
    </row>
    <row r="13" spans="1:14" ht="21" customHeight="1" outlineLevel="1" thickBot="1" x14ac:dyDescent="0.4">
      <c r="A13" s="37" t="s">
        <v>163</v>
      </c>
      <c r="B13" s="38">
        <v>-3874</v>
      </c>
      <c r="C13" s="38">
        <v>-6751</v>
      </c>
      <c r="D13" s="38">
        <v>-5865</v>
      </c>
      <c r="E13" s="38">
        <v>-5653</v>
      </c>
      <c r="F13" s="38">
        <v>-6829</v>
      </c>
      <c r="G13" s="38">
        <v>-6832</v>
      </c>
      <c r="H13" s="38">
        <v>-4550</v>
      </c>
      <c r="I13" s="38">
        <v>-6389</v>
      </c>
      <c r="J13" s="38">
        <v>-7612</v>
      </c>
      <c r="K13" s="38">
        <v>-8794</v>
      </c>
      <c r="L13" s="38">
        <v>-9231</v>
      </c>
      <c r="M13" s="38">
        <v>-5602</v>
      </c>
    </row>
    <row r="14" spans="1:14" s="16" customFormat="1" ht="21" customHeight="1" x14ac:dyDescent="0.35">
      <c r="A14" s="45" t="s">
        <v>164</v>
      </c>
      <c r="B14" s="46">
        <v>-2563</v>
      </c>
      <c r="C14" s="46">
        <v>999</v>
      </c>
      <c r="D14" s="46">
        <v>-885</v>
      </c>
      <c r="E14" s="46">
        <v>-14664</v>
      </c>
      <c r="F14" s="46">
        <v>4533</v>
      </c>
      <c r="G14" s="46">
        <v>-632</v>
      </c>
      <c r="H14" s="46">
        <v>-331</v>
      </c>
      <c r="I14" s="46">
        <v>-7373</v>
      </c>
      <c r="J14" s="46">
        <v>-6485</v>
      </c>
      <c r="K14" s="46">
        <v>-1071</v>
      </c>
      <c r="L14" s="46">
        <v>-5093</v>
      </c>
      <c r="M14" s="46">
        <v>-1864</v>
      </c>
    </row>
    <row r="15" spans="1:14" ht="21" customHeight="1" outlineLevel="1" x14ac:dyDescent="0.35">
      <c r="A15" s="41" t="s">
        <v>165</v>
      </c>
      <c r="B15" s="42">
        <v>-2748</v>
      </c>
      <c r="C15" s="42">
        <v>-2247</v>
      </c>
      <c r="D15" s="42">
        <v>-2723</v>
      </c>
      <c r="E15" s="42">
        <v>-2760</v>
      </c>
      <c r="F15" s="42">
        <v>-1998</v>
      </c>
      <c r="G15" s="42">
        <v>-2445</v>
      </c>
      <c r="H15" s="42">
        <v>-3307</v>
      </c>
      <c r="I15" s="42">
        <v>-2107</v>
      </c>
      <c r="J15" s="42">
        <v>-2161</v>
      </c>
      <c r="K15" s="42">
        <v>-2579</v>
      </c>
      <c r="L15" s="42">
        <v>-2201</v>
      </c>
      <c r="M15" s="42">
        <v>-2237</v>
      </c>
    </row>
    <row r="16" spans="1:14" ht="21" customHeight="1" outlineLevel="1" x14ac:dyDescent="0.35">
      <c r="A16" s="41" t="s">
        <v>166</v>
      </c>
      <c r="B16" s="42">
        <v>3</v>
      </c>
      <c r="C16" s="42">
        <v>0</v>
      </c>
      <c r="D16" s="42">
        <v>0</v>
      </c>
      <c r="E16" s="42">
        <v>0</v>
      </c>
      <c r="F16" s="42">
        <v>0</v>
      </c>
      <c r="G16" s="42">
        <v>0</v>
      </c>
      <c r="H16" s="42">
        <v>0</v>
      </c>
      <c r="I16" s="42">
        <v>0</v>
      </c>
      <c r="J16" s="42">
        <v>0</v>
      </c>
      <c r="K16" s="42">
        <v>0</v>
      </c>
      <c r="L16" s="42">
        <v>0</v>
      </c>
      <c r="M16" s="42">
        <v>0</v>
      </c>
    </row>
    <row r="17" spans="1:13" ht="21" customHeight="1" outlineLevel="1" x14ac:dyDescent="0.35">
      <c r="A17" s="41" t="s">
        <v>167</v>
      </c>
      <c r="B17" s="42">
        <v>-25046</v>
      </c>
      <c r="C17" s="42">
        <v>-23923</v>
      </c>
      <c r="D17" s="42">
        <v>-24577</v>
      </c>
      <c r="E17" s="42">
        <v>-66410</v>
      </c>
      <c r="F17" s="42">
        <v>-69159</v>
      </c>
      <c r="G17" s="42">
        <v>-79410</v>
      </c>
      <c r="H17" s="42">
        <v>-37482</v>
      </c>
      <c r="I17" s="42">
        <v>-46738</v>
      </c>
      <c r="J17" s="42">
        <v>-59951</v>
      </c>
      <c r="K17" s="42">
        <v>-75800</v>
      </c>
      <c r="L17" s="42">
        <v>-78118</v>
      </c>
      <c r="M17" s="42">
        <v>-82753</v>
      </c>
    </row>
    <row r="18" spans="1:13" ht="21" customHeight="1" outlineLevel="1" x14ac:dyDescent="0.35">
      <c r="A18" s="41" t="s">
        <v>168</v>
      </c>
      <c r="B18" s="42">
        <v>22385</v>
      </c>
      <c r="C18" s="42">
        <v>25253</v>
      </c>
      <c r="D18" s="42">
        <v>24980</v>
      </c>
      <c r="E18" s="42">
        <v>52048</v>
      </c>
      <c r="F18" s="42">
        <v>74003</v>
      </c>
      <c r="G18" s="42">
        <v>78098</v>
      </c>
      <c r="H18" s="42">
        <v>38861</v>
      </c>
      <c r="I18" s="42">
        <v>40381</v>
      </c>
      <c r="J18" s="42">
        <v>57356</v>
      </c>
      <c r="K18" s="42">
        <v>76722</v>
      </c>
      <c r="L18" s="42">
        <v>72956</v>
      </c>
      <c r="M18" s="42">
        <v>84888</v>
      </c>
    </row>
    <row r="19" spans="1:13" ht="21" customHeight="1" outlineLevel="1" x14ac:dyDescent="0.35">
      <c r="A19" s="41" t="s">
        <v>169</v>
      </c>
      <c r="B19" s="42">
        <v>2379</v>
      </c>
      <c r="C19" s="42">
        <v>2551</v>
      </c>
      <c r="D19" s="42">
        <v>2383</v>
      </c>
      <c r="E19" s="42">
        <v>0</v>
      </c>
      <c r="F19" s="42">
        <v>0</v>
      </c>
      <c r="G19" s="42">
        <v>0</v>
      </c>
      <c r="H19" s="42">
        <v>0</v>
      </c>
      <c r="I19" s="42">
        <v>0</v>
      </c>
      <c r="J19" s="42">
        <v>0</v>
      </c>
      <c r="K19" s="42">
        <v>0</v>
      </c>
      <c r="L19" s="42">
        <v>0</v>
      </c>
      <c r="M19" s="42">
        <v>0</v>
      </c>
    </row>
    <row r="20" spans="1:13" ht="21" customHeight="1" outlineLevel="1" x14ac:dyDescent="0.35">
      <c r="A20" s="41" t="s">
        <v>170</v>
      </c>
      <c r="B20" s="42">
        <v>0</v>
      </c>
      <c r="C20" s="42">
        <v>0</v>
      </c>
      <c r="D20" s="42">
        <v>0</v>
      </c>
      <c r="E20" s="42">
        <v>2753</v>
      </c>
      <c r="F20" s="42">
        <v>1768</v>
      </c>
      <c r="G20" s="42">
        <v>1557</v>
      </c>
      <c r="H20" s="42">
        <v>1929</v>
      </c>
      <c r="I20" s="42">
        <v>1418</v>
      </c>
      <c r="J20" s="42">
        <v>1898</v>
      </c>
      <c r="K20" s="42">
        <v>1525</v>
      </c>
      <c r="L20" s="42">
        <v>1768</v>
      </c>
      <c r="M20" s="42">
        <v>2040</v>
      </c>
    </row>
    <row r="21" spans="1:13" ht="21" customHeight="1" outlineLevel="1" x14ac:dyDescent="0.35">
      <c r="A21" s="41" t="s">
        <v>171</v>
      </c>
      <c r="B21" s="42">
        <v>0</v>
      </c>
      <c r="C21" s="42">
        <v>-1376</v>
      </c>
      <c r="D21" s="42">
        <v>-747</v>
      </c>
      <c r="E21" s="42">
        <v>0</v>
      </c>
      <c r="F21" s="42">
        <v>0</v>
      </c>
      <c r="G21" s="42">
        <v>0</v>
      </c>
      <c r="H21" s="42">
        <v>0</v>
      </c>
      <c r="I21" s="42">
        <v>0</v>
      </c>
      <c r="J21" s="42">
        <v>0</v>
      </c>
      <c r="K21" s="42">
        <v>0</v>
      </c>
      <c r="L21" s="42">
        <v>0</v>
      </c>
      <c r="M21" s="42">
        <v>0</v>
      </c>
    </row>
    <row r="22" spans="1:13" ht="21" customHeight="1" outlineLevel="1" x14ac:dyDescent="0.35">
      <c r="A22" s="41" t="s">
        <v>172</v>
      </c>
      <c r="B22" s="42">
        <v>0</v>
      </c>
      <c r="C22" s="42">
        <v>0</v>
      </c>
      <c r="D22" s="42">
        <v>-142</v>
      </c>
      <c r="E22" s="42">
        <v>-164</v>
      </c>
      <c r="F22" s="42">
        <v>-130</v>
      </c>
      <c r="G22" s="42">
        <v>-24</v>
      </c>
      <c r="H22" s="42">
        <v>-108</v>
      </c>
      <c r="I22" s="42">
        <v>0</v>
      </c>
      <c r="J22" s="42">
        <v>0</v>
      </c>
      <c r="K22" s="42">
        <v>0</v>
      </c>
      <c r="L22" s="42">
        <v>0</v>
      </c>
      <c r="M22" s="42">
        <v>0</v>
      </c>
    </row>
    <row r="23" spans="1:13" ht="21" customHeight="1" outlineLevel="1" thickBot="1" x14ac:dyDescent="0.4">
      <c r="A23" s="41" t="s">
        <v>173</v>
      </c>
      <c r="B23" s="42">
        <v>464</v>
      </c>
      <c r="C23" s="42">
        <v>741</v>
      </c>
      <c r="D23" s="42">
        <v>-59</v>
      </c>
      <c r="E23" s="42">
        <v>-131</v>
      </c>
      <c r="F23" s="42">
        <v>49</v>
      </c>
      <c r="G23" s="42">
        <v>1592</v>
      </c>
      <c r="H23" s="42">
        <v>-224</v>
      </c>
      <c r="I23" s="42">
        <v>-327</v>
      </c>
      <c r="J23" s="42">
        <v>-3627</v>
      </c>
      <c r="K23" s="42">
        <v>-939</v>
      </c>
      <c r="L23" s="42">
        <v>502</v>
      </c>
      <c r="M23" s="42">
        <v>-3802</v>
      </c>
    </row>
    <row r="24" spans="1:13" s="16" customFormat="1" ht="21" customHeight="1" x14ac:dyDescent="0.35">
      <c r="A24" s="43" t="s">
        <v>174</v>
      </c>
      <c r="B24" s="44">
        <v>-3144</v>
      </c>
      <c r="C24" s="44">
        <v>-4935</v>
      </c>
      <c r="D24" s="44">
        <v>-6813</v>
      </c>
      <c r="E24" s="44">
        <v>-6939</v>
      </c>
      <c r="F24" s="44">
        <v>-20505</v>
      </c>
      <c r="G24" s="44">
        <v>-14512</v>
      </c>
      <c r="H24" s="44">
        <v>-17591</v>
      </c>
      <c r="I24" s="44">
        <v>-9786</v>
      </c>
      <c r="J24" s="44">
        <v>-24642</v>
      </c>
      <c r="K24" s="44">
        <v>-26695</v>
      </c>
      <c r="L24" s="44">
        <v>-17504</v>
      </c>
      <c r="M24" s="44">
        <v>-24161</v>
      </c>
    </row>
    <row r="25" spans="1:13" ht="21" customHeight="1" outlineLevel="1" x14ac:dyDescent="0.35">
      <c r="A25" s="37" t="s">
        <v>175</v>
      </c>
      <c r="B25" s="38">
        <v>0</v>
      </c>
      <c r="C25" s="38">
        <v>0</v>
      </c>
      <c r="D25" s="38">
        <v>0</v>
      </c>
      <c r="E25" s="38">
        <v>0</v>
      </c>
      <c r="F25" s="38">
        <v>5</v>
      </c>
      <c r="G25" s="38">
        <v>6</v>
      </c>
      <c r="H25" s="38">
        <v>6</v>
      </c>
      <c r="I25" s="38">
        <v>15</v>
      </c>
      <c r="J25" s="38">
        <v>21</v>
      </c>
      <c r="K25" s="38">
        <v>35</v>
      </c>
      <c r="L25" s="38">
        <v>5</v>
      </c>
      <c r="M25" s="38">
        <v>6</v>
      </c>
    </row>
    <row r="26" spans="1:13" ht="21" customHeight="1" outlineLevel="1" x14ac:dyDescent="0.35">
      <c r="A26" s="37" t="s">
        <v>176</v>
      </c>
      <c r="B26" s="38">
        <v>0</v>
      </c>
      <c r="C26" s="38">
        <v>0</v>
      </c>
      <c r="D26" s="38">
        <v>0</v>
      </c>
      <c r="E26" s="38">
        <v>0</v>
      </c>
      <c r="F26" s="38">
        <v>0</v>
      </c>
      <c r="G26" s="38">
        <v>0</v>
      </c>
      <c r="H26" s="38">
        <v>0</v>
      </c>
      <c r="I26" s="38">
        <v>0</v>
      </c>
      <c r="J26" s="38">
        <v>0</v>
      </c>
      <c r="K26" s="38">
        <v>0</v>
      </c>
      <c r="L26" s="38">
        <v>0</v>
      </c>
      <c r="M26" s="38">
        <v>-985</v>
      </c>
    </row>
    <row r="27" spans="1:13" ht="21" customHeight="1" outlineLevel="1" x14ac:dyDescent="0.35">
      <c r="A27" s="37" t="s">
        <v>177</v>
      </c>
      <c r="B27" s="38">
        <v>-3144</v>
      </c>
      <c r="C27" s="38">
        <v>-4935</v>
      </c>
      <c r="D27" s="38">
        <v>-6813</v>
      </c>
      <c r="E27" s="38">
        <v>-6939</v>
      </c>
      <c r="F27" s="38">
        <v>-7464</v>
      </c>
      <c r="G27" s="38">
        <v>-13705</v>
      </c>
      <c r="H27" s="38">
        <v>-9548</v>
      </c>
      <c r="I27" s="38">
        <v>-9137</v>
      </c>
      <c r="J27" s="38">
        <v>-12731</v>
      </c>
      <c r="K27" s="38">
        <v>-13653</v>
      </c>
      <c r="L27" s="38">
        <v>-14731</v>
      </c>
      <c r="M27" s="38">
        <v>-20289</v>
      </c>
    </row>
    <row r="28" spans="1:13" ht="21" customHeight="1" outlineLevel="1" x14ac:dyDescent="0.35">
      <c r="A28" s="37" t="s">
        <v>178</v>
      </c>
      <c r="B28" s="38">
        <v>0</v>
      </c>
      <c r="C28" s="38">
        <v>0</v>
      </c>
      <c r="D28" s="38">
        <v>0</v>
      </c>
      <c r="E28" s="38">
        <v>0</v>
      </c>
      <c r="F28" s="38">
        <v>0</v>
      </c>
      <c r="G28" s="38">
        <v>0</v>
      </c>
      <c r="H28" s="38">
        <v>-571</v>
      </c>
      <c r="I28" s="38">
        <v>-698</v>
      </c>
      <c r="J28" s="38">
        <v>-915</v>
      </c>
      <c r="K28" s="38">
        <v>-1231</v>
      </c>
      <c r="L28" s="38">
        <v>-2024</v>
      </c>
      <c r="M28" s="38">
        <v>-2355</v>
      </c>
    </row>
    <row r="29" spans="1:13" ht="21" customHeight="1" outlineLevel="1" thickBot="1" x14ac:dyDescent="0.4">
      <c r="A29" s="37" t="s">
        <v>179</v>
      </c>
      <c r="B29" s="38">
        <v>0</v>
      </c>
      <c r="C29" s="38">
        <v>0</v>
      </c>
      <c r="D29" s="38">
        <v>0</v>
      </c>
      <c r="E29" s="38">
        <v>0</v>
      </c>
      <c r="F29" s="38">
        <v>-13046</v>
      </c>
      <c r="G29" s="38">
        <v>-813</v>
      </c>
      <c r="H29" s="38">
        <v>-7478</v>
      </c>
      <c r="I29" s="38">
        <v>34</v>
      </c>
      <c r="J29" s="38">
        <v>-11017</v>
      </c>
      <c r="K29" s="38">
        <v>-11846</v>
      </c>
      <c r="L29" s="38">
        <v>-754</v>
      </c>
      <c r="M29" s="38">
        <v>-538</v>
      </c>
    </row>
    <row r="30" spans="1:13" ht="21" customHeight="1" x14ac:dyDescent="0.35">
      <c r="A30" s="48" t="s">
        <v>180</v>
      </c>
      <c r="B30" s="46">
        <v>4118</v>
      </c>
      <c r="C30" s="46">
        <v>4417</v>
      </c>
      <c r="D30" s="46">
        <v>2330</v>
      </c>
      <c r="E30" s="46">
        <v>-10072</v>
      </c>
      <c r="F30" s="46">
        <v>-2754</v>
      </c>
      <c r="G30" s="46">
        <v>-303</v>
      </c>
      <c r="H30" s="46">
        <v>-919</v>
      </c>
      <c r="I30" s="46">
        <v>6065</v>
      </c>
      <c r="J30" s="46">
        <v>-7242</v>
      </c>
      <c r="K30" s="46">
        <v>-5299</v>
      </c>
      <c r="L30" s="46">
        <v>2613</v>
      </c>
      <c r="M30" s="46">
        <v>9669</v>
      </c>
    </row>
  </sheetData>
  <autoFilter ref="A5:N30" xr:uid="{00000000-0009-0000-0000-000004000000}"/>
  <mergeCells count="3">
    <mergeCell ref="A1:N2"/>
    <mergeCell ref="A3:N3"/>
    <mergeCell ref="A4:N4"/>
  </mergeCells>
  <pageMargins left="0.25" right="0.25" top="0.4" bottom="0.4" header="0.15" footer="0.15"/>
  <pageSetup scale="46" fitToHeight="0" orientation="landscape" r:id="rId1"/>
  <headerFooter>
    <oddFooter>&amp;C&amp;"Aptos"&amp;8 Infosys Ltd Financial Analysis | FY2014–FY2025&amp;RPage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6"/>
  <sheetViews>
    <sheetView showGridLines="0" zoomScale="42" zoomScaleNormal="82" workbookViewId="0">
      <selection activeCell="J18" sqref="J18"/>
    </sheetView>
  </sheetViews>
  <sheetFormatPr defaultRowHeight="21" customHeight="1" outlineLevelRow="1" x14ac:dyDescent="0.35"/>
  <cols>
    <col min="1" max="1" width="28" style="4" customWidth="1"/>
    <col min="2" max="2" width="21" style="9" bestFit="1" customWidth="1"/>
    <col min="3" max="8" width="21" customWidth="1"/>
    <col min="9" max="9" width="21" style="9" bestFit="1" customWidth="1"/>
    <col min="10" max="10" width="21" style="9" customWidth="1"/>
    <col min="11" max="11" width="21" style="9" bestFit="1" customWidth="1"/>
    <col min="12" max="14" width="21" customWidth="1"/>
  </cols>
  <sheetData>
    <row r="1" spans="1:14" s="12" customFormat="1" ht="28" customHeight="1" x14ac:dyDescent="0.35">
      <c r="A1" s="131" t="s">
        <v>126</v>
      </c>
      <c r="B1" s="131"/>
      <c r="C1" s="131"/>
      <c r="D1" s="131"/>
      <c r="E1" s="131"/>
      <c r="F1" s="131"/>
      <c r="G1" s="131"/>
      <c r="H1" s="131"/>
      <c r="I1" s="131"/>
      <c r="J1" s="131"/>
      <c r="K1" s="131"/>
      <c r="L1" s="131"/>
      <c r="M1" s="131"/>
      <c r="N1" s="131"/>
    </row>
    <row r="2" spans="1:14" s="12" customFormat="1" ht="21" customHeight="1" x14ac:dyDescent="0.35">
      <c r="A2" s="131"/>
      <c r="B2" s="131"/>
      <c r="C2" s="131"/>
      <c r="D2" s="131"/>
      <c r="E2" s="131"/>
      <c r="F2" s="131"/>
      <c r="G2" s="131"/>
      <c r="H2" s="131"/>
      <c r="I2" s="131"/>
      <c r="J2" s="131"/>
      <c r="K2" s="131"/>
      <c r="L2" s="131"/>
      <c r="M2" s="131"/>
      <c r="N2" s="131"/>
    </row>
    <row r="3" spans="1:14" s="12" customFormat="1" ht="21" customHeight="1" x14ac:dyDescent="0.35">
      <c r="A3" s="136" t="s">
        <v>181</v>
      </c>
      <c r="B3" s="136"/>
      <c r="C3" s="136"/>
      <c r="D3" s="136"/>
      <c r="E3" s="136"/>
      <c r="F3" s="136"/>
      <c r="G3" s="136"/>
      <c r="H3" s="136"/>
      <c r="I3" s="136"/>
      <c r="J3" s="136"/>
      <c r="K3" s="136"/>
      <c r="L3" s="136"/>
      <c r="M3" s="136"/>
      <c r="N3" s="136"/>
    </row>
    <row r="4" spans="1:14" s="12" customFormat="1" ht="21" customHeight="1" x14ac:dyDescent="0.35">
      <c r="A4" s="135" t="s">
        <v>182</v>
      </c>
      <c r="B4" s="135"/>
      <c r="C4" s="135"/>
      <c r="D4" s="135"/>
      <c r="E4" s="135"/>
      <c r="F4" s="135"/>
      <c r="G4" s="135"/>
      <c r="H4" s="135"/>
      <c r="I4" s="135"/>
      <c r="J4" s="135"/>
      <c r="K4" s="135"/>
      <c r="L4" s="135"/>
      <c r="M4" s="135"/>
      <c r="N4" s="135"/>
    </row>
    <row r="5" spans="1:14" s="12" customFormat="1" ht="21" customHeight="1" thickBot="1" x14ac:dyDescent="0.4">
      <c r="A5" s="7"/>
      <c r="B5" s="33">
        <v>41699</v>
      </c>
      <c r="C5" s="33">
        <v>42064</v>
      </c>
      <c r="D5" s="33">
        <v>42430</v>
      </c>
      <c r="E5" s="33">
        <v>42795</v>
      </c>
      <c r="F5" s="33">
        <v>43160</v>
      </c>
      <c r="G5" s="33">
        <v>43525</v>
      </c>
      <c r="H5" s="33">
        <v>43891</v>
      </c>
      <c r="I5" s="33">
        <v>44256</v>
      </c>
      <c r="J5" s="33">
        <v>44621</v>
      </c>
      <c r="K5" s="33">
        <v>44986</v>
      </c>
      <c r="L5" s="33">
        <v>45352</v>
      </c>
      <c r="M5" s="33">
        <v>45717</v>
      </c>
      <c r="N5" s="33">
        <v>45901</v>
      </c>
    </row>
    <row r="6" spans="1:14" s="12" customFormat="1" ht="21" customHeight="1" x14ac:dyDescent="0.35">
      <c r="A6" s="37" t="s">
        <v>183</v>
      </c>
      <c r="B6" s="38">
        <v>286</v>
      </c>
      <c r="C6" s="38">
        <v>572</v>
      </c>
      <c r="D6" s="38">
        <v>1144</v>
      </c>
      <c r="E6" s="38">
        <v>1144</v>
      </c>
      <c r="F6" s="38">
        <v>1088</v>
      </c>
      <c r="G6" s="38">
        <v>2170</v>
      </c>
      <c r="H6" s="38">
        <v>2122</v>
      </c>
      <c r="I6" s="38">
        <v>2124</v>
      </c>
      <c r="J6" s="38">
        <v>2098</v>
      </c>
      <c r="K6" s="38">
        <v>2069</v>
      </c>
      <c r="L6" s="38">
        <v>2071</v>
      </c>
      <c r="M6" s="38">
        <v>2073</v>
      </c>
      <c r="N6" s="38">
        <v>2074</v>
      </c>
    </row>
    <row r="7" spans="1:14" s="12" customFormat="1" ht="21" customHeight="1" thickBot="1" x14ac:dyDescent="0.4">
      <c r="A7" s="41" t="s">
        <v>184</v>
      </c>
      <c r="B7" s="42">
        <v>44244</v>
      </c>
      <c r="C7" s="42">
        <v>50164</v>
      </c>
      <c r="D7" s="42">
        <v>60600</v>
      </c>
      <c r="E7" s="42">
        <v>67838</v>
      </c>
      <c r="F7" s="42">
        <v>63835</v>
      </c>
      <c r="G7" s="42">
        <v>62778</v>
      </c>
      <c r="H7" s="42">
        <v>63328</v>
      </c>
      <c r="I7" s="42">
        <v>74227</v>
      </c>
      <c r="J7" s="42">
        <v>73252</v>
      </c>
      <c r="K7" s="42">
        <v>73338</v>
      </c>
      <c r="L7" s="42">
        <v>86045</v>
      </c>
      <c r="M7" s="42">
        <v>93745</v>
      </c>
      <c r="N7" s="42">
        <v>101256</v>
      </c>
    </row>
    <row r="8" spans="1:14" s="12" customFormat="1" ht="21" customHeight="1" x14ac:dyDescent="0.35">
      <c r="A8" s="35" t="s">
        <v>185</v>
      </c>
      <c r="B8" s="36">
        <v>0</v>
      </c>
      <c r="C8" s="36">
        <v>0</v>
      </c>
      <c r="D8" s="36">
        <v>0</v>
      </c>
      <c r="E8" s="36">
        <v>0</v>
      </c>
      <c r="F8" s="36">
        <v>0</v>
      </c>
      <c r="G8" s="36">
        <v>0</v>
      </c>
      <c r="H8" s="36">
        <v>4633</v>
      </c>
      <c r="I8" s="36">
        <v>5325</v>
      </c>
      <c r="J8" s="36">
        <v>5474</v>
      </c>
      <c r="K8" s="36">
        <v>8299</v>
      </c>
      <c r="L8" s="36">
        <v>8359</v>
      </c>
      <c r="M8" s="36">
        <v>8227</v>
      </c>
      <c r="N8" s="36">
        <v>8755</v>
      </c>
    </row>
    <row r="9" spans="1:14" s="12" customFormat="1" ht="21" customHeight="1" outlineLevel="1" thickBot="1" x14ac:dyDescent="0.4">
      <c r="A9" s="37" t="s">
        <v>186</v>
      </c>
      <c r="B9" s="38">
        <v>0</v>
      </c>
      <c r="C9" s="38">
        <v>0</v>
      </c>
      <c r="D9" s="38">
        <v>0</v>
      </c>
      <c r="E9" s="38">
        <v>0</v>
      </c>
      <c r="F9" s="38">
        <v>0</v>
      </c>
      <c r="G9" s="38">
        <v>0</v>
      </c>
      <c r="H9" s="38">
        <v>4633</v>
      </c>
      <c r="I9" s="38">
        <v>5325</v>
      </c>
      <c r="J9" s="38">
        <v>5474</v>
      </c>
      <c r="K9" s="38">
        <v>8299</v>
      </c>
      <c r="L9" s="38">
        <v>8359</v>
      </c>
      <c r="M9" s="38">
        <v>8227</v>
      </c>
      <c r="N9" s="38">
        <v>8755</v>
      </c>
    </row>
    <row r="10" spans="1:14" s="12" customFormat="1" ht="21" customHeight="1" x14ac:dyDescent="0.35">
      <c r="A10" s="39" t="s">
        <v>187</v>
      </c>
      <c r="B10" s="40">
        <v>12436</v>
      </c>
      <c r="C10" s="40">
        <v>15553</v>
      </c>
      <c r="D10" s="40">
        <v>13354</v>
      </c>
      <c r="E10" s="40">
        <v>14166</v>
      </c>
      <c r="F10" s="40">
        <v>14426</v>
      </c>
      <c r="G10" s="40">
        <v>19118</v>
      </c>
      <c r="H10" s="40">
        <v>21717</v>
      </c>
      <c r="I10" s="40">
        <v>25835</v>
      </c>
      <c r="J10" s="40">
        <v>35905</v>
      </c>
      <c r="K10" s="40">
        <v>40890</v>
      </c>
      <c r="L10" s="40">
        <v>40885</v>
      </c>
      <c r="M10" s="40">
        <v>43750</v>
      </c>
      <c r="N10" s="40">
        <v>48295</v>
      </c>
    </row>
    <row r="11" spans="1:14" s="12" customFormat="1" ht="21" customHeight="1" outlineLevel="1" x14ac:dyDescent="0.35">
      <c r="A11" s="41" t="s">
        <v>188</v>
      </c>
      <c r="B11" s="42">
        <v>0</v>
      </c>
      <c r="C11" s="42">
        <v>0</v>
      </c>
      <c r="D11" s="42">
        <v>0</v>
      </c>
      <c r="E11" s="42">
        <v>0</v>
      </c>
      <c r="F11" s="42">
        <v>1</v>
      </c>
      <c r="G11" s="42">
        <v>58</v>
      </c>
      <c r="H11" s="42">
        <v>394</v>
      </c>
      <c r="I11" s="42">
        <v>431</v>
      </c>
      <c r="J11" s="42">
        <v>386</v>
      </c>
      <c r="K11" s="42">
        <v>388</v>
      </c>
      <c r="L11" s="42">
        <v>345</v>
      </c>
      <c r="M11" s="42">
        <v>385</v>
      </c>
      <c r="N11" s="42">
        <v>414</v>
      </c>
    </row>
    <row r="12" spans="1:14" s="12" customFormat="1" ht="21" customHeight="1" outlineLevel="1" x14ac:dyDescent="0.35">
      <c r="A12" s="41" t="s">
        <v>189</v>
      </c>
      <c r="B12" s="42">
        <v>173</v>
      </c>
      <c r="C12" s="42">
        <v>140</v>
      </c>
      <c r="D12" s="42">
        <v>386</v>
      </c>
      <c r="E12" s="42">
        <v>367</v>
      </c>
      <c r="F12" s="42">
        <v>694</v>
      </c>
      <c r="G12" s="42">
        <v>1655</v>
      </c>
      <c r="H12" s="42">
        <v>2852</v>
      </c>
      <c r="I12" s="42">
        <v>2645</v>
      </c>
      <c r="J12" s="42">
        <v>4134</v>
      </c>
      <c r="K12" s="42">
        <v>3865</v>
      </c>
      <c r="L12" s="42">
        <v>3956</v>
      </c>
      <c r="M12" s="42">
        <v>4164</v>
      </c>
      <c r="N12" s="42">
        <v>3839</v>
      </c>
    </row>
    <row r="13" spans="1:14" s="12" customFormat="1" ht="21" customHeight="1" outlineLevel="1" x14ac:dyDescent="0.35">
      <c r="A13" s="41" t="s">
        <v>190</v>
      </c>
      <c r="B13" s="42">
        <v>40</v>
      </c>
      <c r="C13" s="42">
        <v>27</v>
      </c>
      <c r="D13" s="42">
        <v>28</v>
      </c>
      <c r="E13" s="42">
        <v>0</v>
      </c>
      <c r="F13" s="42">
        <v>0</v>
      </c>
      <c r="G13" s="42">
        <v>0</v>
      </c>
      <c r="H13" s="42">
        <v>0</v>
      </c>
      <c r="I13" s="42">
        <v>0</v>
      </c>
      <c r="J13" s="42">
        <v>0</v>
      </c>
      <c r="K13" s="42">
        <v>0</v>
      </c>
      <c r="L13" s="42">
        <v>0</v>
      </c>
      <c r="M13" s="42">
        <v>0</v>
      </c>
      <c r="N13" s="3"/>
    </row>
    <row r="14" spans="1:14" s="12" customFormat="1" ht="21" customHeight="1" outlineLevel="1" thickBot="1" x14ac:dyDescent="0.4">
      <c r="A14" s="41" t="s">
        <v>191</v>
      </c>
      <c r="B14" s="42">
        <v>12223</v>
      </c>
      <c r="C14" s="42">
        <v>15386</v>
      </c>
      <c r="D14" s="42">
        <v>12940</v>
      </c>
      <c r="E14" s="42">
        <v>13799</v>
      </c>
      <c r="F14" s="42">
        <v>13731</v>
      </c>
      <c r="G14" s="42">
        <v>17405</v>
      </c>
      <c r="H14" s="42">
        <v>18471</v>
      </c>
      <c r="I14" s="42">
        <v>22759</v>
      </c>
      <c r="J14" s="42">
        <v>31385</v>
      </c>
      <c r="K14" s="42">
        <v>36637</v>
      </c>
      <c r="L14" s="42">
        <v>36584</v>
      </c>
      <c r="M14" s="42">
        <v>39201</v>
      </c>
      <c r="N14" s="42">
        <v>44042</v>
      </c>
    </row>
    <row r="15" spans="1:14" s="12" customFormat="1" ht="21" customHeight="1" thickBot="1" x14ac:dyDescent="0.4">
      <c r="A15" s="43" t="s">
        <v>192</v>
      </c>
      <c r="B15" s="44">
        <v>56966</v>
      </c>
      <c r="C15" s="44">
        <v>66289</v>
      </c>
      <c r="D15" s="44">
        <v>75098</v>
      </c>
      <c r="E15" s="44">
        <v>83148</v>
      </c>
      <c r="F15" s="44">
        <v>79349</v>
      </c>
      <c r="G15" s="44">
        <v>84066</v>
      </c>
      <c r="H15" s="44">
        <v>91800</v>
      </c>
      <c r="I15" s="44">
        <v>107511</v>
      </c>
      <c r="J15" s="44">
        <v>116729</v>
      </c>
      <c r="K15" s="44">
        <v>124596</v>
      </c>
      <c r="L15" s="44">
        <v>137360</v>
      </c>
      <c r="M15" s="44">
        <v>147795</v>
      </c>
      <c r="N15" s="44">
        <v>160380</v>
      </c>
    </row>
    <row r="16" spans="1:14" s="12" customFormat="1" ht="21" customHeight="1" x14ac:dyDescent="0.35">
      <c r="A16" s="39" t="s">
        <v>193</v>
      </c>
      <c r="B16" s="40">
        <v>8378</v>
      </c>
      <c r="C16" s="40">
        <v>11346</v>
      </c>
      <c r="D16" s="40">
        <v>13386</v>
      </c>
      <c r="E16" s="40">
        <v>14179</v>
      </c>
      <c r="F16" s="40">
        <v>12574</v>
      </c>
      <c r="G16" s="40">
        <v>15710</v>
      </c>
      <c r="H16" s="40">
        <v>23789</v>
      </c>
      <c r="I16" s="40">
        <v>25505</v>
      </c>
      <c r="J16" s="40">
        <v>25800</v>
      </c>
      <c r="K16" s="40">
        <v>29225</v>
      </c>
      <c r="L16" s="40">
        <v>27622</v>
      </c>
      <c r="M16" s="40">
        <v>30961</v>
      </c>
      <c r="N16" s="40">
        <v>32656</v>
      </c>
    </row>
    <row r="17" spans="1:14" s="12" customFormat="1" ht="21" customHeight="1" outlineLevel="1" x14ac:dyDescent="0.35">
      <c r="A17" s="41" t="s">
        <v>194</v>
      </c>
      <c r="B17" s="42">
        <v>1142</v>
      </c>
      <c r="C17" s="42">
        <v>1564</v>
      </c>
      <c r="D17" s="42">
        <v>1622</v>
      </c>
      <c r="E17" s="42">
        <v>1095</v>
      </c>
      <c r="F17" s="42">
        <v>1229</v>
      </c>
      <c r="G17" s="42">
        <v>1307</v>
      </c>
      <c r="H17" s="42">
        <v>1950</v>
      </c>
      <c r="I17" s="42">
        <v>2036</v>
      </c>
      <c r="J17" s="42">
        <v>2065</v>
      </c>
      <c r="K17" s="42">
        <v>2054</v>
      </c>
      <c r="L17" s="42">
        <v>2037</v>
      </c>
      <c r="M17" s="42">
        <v>2079</v>
      </c>
      <c r="N17" s="3"/>
    </row>
    <row r="18" spans="1:14" s="12" customFormat="1" ht="21" customHeight="1" outlineLevel="1" x14ac:dyDescent="0.35">
      <c r="A18" s="41" t="s">
        <v>195</v>
      </c>
      <c r="B18" s="42">
        <v>5238</v>
      </c>
      <c r="C18" s="42">
        <v>6102</v>
      </c>
      <c r="D18" s="42">
        <v>6325</v>
      </c>
      <c r="E18" s="42">
        <v>8419</v>
      </c>
      <c r="F18" s="42">
        <v>9334</v>
      </c>
      <c r="G18" s="42">
        <v>10270</v>
      </c>
      <c r="H18" s="42">
        <v>15104</v>
      </c>
      <c r="I18" s="42">
        <v>16328</v>
      </c>
      <c r="J18" s="42">
        <v>16761</v>
      </c>
      <c r="K18" s="42">
        <v>16903</v>
      </c>
      <c r="L18" s="42">
        <v>16515</v>
      </c>
      <c r="M18" s="42">
        <v>16376</v>
      </c>
      <c r="N18" s="3"/>
    </row>
    <row r="19" spans="1:14" s="12" customFormat="1" ht="21" customHeight="1" outlineLevel="1" x14ac:dyDescent="0.35">
      <c r="A19" s="41" t="s">
        <v>196</v>
      </c>
      <c r="B19" s="42">
        <v>1150</v>
      </c>
      <c r="C19" s="42">
        <v>1427</v>
      </c>
      <c r="D19" s="42">
        <v>1759</v>
      </c>
      <c r="E19" s="42">
        <v>2048</v>
      </c>
      <c r="F19" s="42">
        <v>2306</v>
      </c>
      <c r="G19" s="42">
        <v>2709</v>
      </c>
      <c r="H19" s="42">
        <v>3185</v>
      </c>
      <c r="I19" s="42">
        <v>3296</v>
      </c>
      <c r="J19" s="42">
        <v>3210</v>
      </c>
      <c r="K19" s="42">
        <v>3302</v>
      </c>
      <c r="L19" s="42">
        <v>3428</v>
      </c>
      <c r="M19" s="42">
        <v>3461</v>
      </c>
      <c r="N19" s="3"/>
    </row>
    <row r="20" spans="1:14" s="12" customFormat="1" ht="21" customHeight="1" outlineLevel="1" x14ac:dyDescent="0.35">
      <c r="A20" s="41" t="s">
        <v>197</v>
      </c>
      <c r="B20" s="42">
        <v>551</v>
      </c>
      <c r="C20" s="42">
        <v>676</v>
      </c>
      <c r="D20" s="42">
        <v>839</v>
      </c>
      <c r="E20" s="42">
        <v>922</v>
      </c>
      <c r="F20" s="42">
        <v>1002</v>
      </c>
      <c r="G20" s="42">
        <v>1101</v>
      </c>
      <c r="H20" s="42">
        <v>1265</v>
      </c>
      <c r="I20" s="42">
        <v>1371</v>
      </c>
      <c r="J20" s="42">
        <v>1427</v>
      </c>
      <c r="K20" s="42">
        <v>1482</v>
      </c>
      <c r="L20" s="42">
        <v>1528</v>
      </c>
      <c r="M20" s="42">
        <v>1628</v>
      </c>
      <c r="N20" s="3"/>
    </row>
    <row r="21" spans="1:14" s="12" customFormat="1" ht="21" customHeight="1" outlineLevel="1" x14ac:dyDescent="0.35">
      <c r="A21" s="41" t="s">
        <v>198</v>
      </c>
      <c r="B21" s="42">
        <v>2659</v>
      </c>
      <c r="C21" s="42">
        <v>3347</v>
      </c>
      <c r="D21" s="42">
        <v>4486</v>
      </c>
      <c r="E21" s="42">
        <v>4945</v>
      </c>
      <c r="F21" s="42">
        <v>4903</v>
      </c>
      <c r="G21" s="42">
        <v>6287</v>
      </c>
      <c r="H21" s="42">
        <v>7423</v>
      </c>
      <c r="I21" s="42">
        <v>8650</v>
      </c>
      <c r="J21" s="42">
        <v>9936</v>
      </c>
      <c r="K21" s="42">
        <v>11898</v>
      </c>
      <c r="L21" s="42">
        <v>12353</v>
      </c>
      <c r="M21" s="42">
        <v>12925</v>
      </c>
      <c r="N21" s="3"/>
    </row>
    <row r="22" spans="1:14" s="12" customFormat="1" ht="21" customHeight="1" outlineLevel="1" x14ac:dyDescent="0.35">
      <c r="A22" s="41" t="s">
        <v>199</v>
      </c>
      <c r="B22" s="42">
        <v>805</v>
      </c>
      <c r="C22" s="42">
        <v>958</v>
      </c>
      <c r="D22" s="42">
        <v>1444</v>
      </c>
      <c r="E22" s="42">
        <v>1277</v>
      </c>
      <c r="F22" s="42">
        <v>1393</v>
      </c>
      <c r="G22" s="42">
        <v>1620</v>
      </c>
      <c r="H22" s="42">
        <v>2073</v>
      </c>
      <c r="I22" s="42">
        <v>2149</v>
      </c>
      <c r="J22" s="42">
        <v>2279</v>
      </c>
      <c r="K22" s="42">
        <v>2303</v>
      </c>
      <c r="L22" s="42">
        <v>2326</v>
      </c>
      <c r="M22" s="42">
        <v>2340</v>
      </c>
      <c r="N22" s="3"/>
    </row>
    <row r="23" spans="1:14" s="12" customFormat="1" ht="21" customHeight="1" outlineLevel="1" x14ac:dyDescent="0.35">
      <c r="A23" s="41" t="s">
        <v>200</v>
      </c>
      <c r="B23" s="42">
        <v>35</v>
      </c>
      <c r="C23" s="42">
        <v>34</v>
      </c>
      <c r="D23" s="42">
        <v>29</v>
      </c>
      <c r="E23" s="42">
        <v>31</v>
      </c>
      <c r="F23" s="42">
        <v>31</v>
      </c>
      <c r="G23" s="42">
        <v>38</v>
      </c>
      <c r="H23" s="42">
        <v>69</v>
      </c>
      <c r="I23" s="42">
        <v>74</v>
      </c>
      <c r="J23" s="42">
        <v>71</v>
      </c>
      <c r="K23" s="42">
        <v>60</v>
      </c>
      <c r="L23" s="42">
        <v>62</v>
      </c>
      <c r="M23" s="42">
        <v>72</v>
      </c>
      <c r="N23" s="3"/>
    </row>
    <row r="24" spans="1:14" s="12" customFormat="1" ht="21" customHeight="1" outlineLevel="1" x14ac:dyDescent="0.35">
      <c r="A24" s="41" t="s">
        <v>201</v>
      </c>
      <c r="B24" s="42">
        <v>2244</v>
      </c>
      <c r="C24" s="42">
        <v>3637</v>
      </c>
      <c r="D24" s="42">
        <v>3858</v>
      </c>
      <c r="E24" s="42">
        <v>3743</v>
      </c>
      <c r="F24" s="42">
        <v>2237</v>
      </c>
      <c r="G24" s="42">
        <v>3640</v>
      </c>
      <c r="H24" s="42">
        <v>5527</v>
      </c>
      <c r="I24" s="42">
        <v>6372</v>
      </c>
      <c r="J24" s="42">
        <v>6495</v>
      </c>
      <c r="K24" s="42">
        <v>7594</v>
      </c>
      <c r="L24" s="42">
        <v>7653</v>
      </c>
      <c r="M24" s="42">
        <v>10626</v>
      </c>
      <c r="N24" s="42">
        <v>14670</v>
      </c>
    </row>
    <row r="25" spans="1:14" s="12" customFormat="1" ht="21" customHeight="1" outlineLevel="1" thickBot="1" x14ac:dyDescent="0.4">
      <c r="A25" s="41" t="s">
        <v>202</v>
      </c>
      <c r="B25" s="42">
        <v>126</v>
      </c>
      <c r="C25" s="42">
        <v>71</v>
      </c>
      <c r="D25" s="42">
        <v>931</v>
      </c>
      <c r="E25" s="42">
        <v>899</v>
      </c>
      <c r="F25" s="42">
        <v>545</v>
      </c>
      <c r="G25" s="42">
        <v>1093</v>
      </c>
      <c r="H25" s="42">
        <v>2289</v>
      </c>
      <c r="I25" s="42">
        <v>2730</v>
      </c>
      <c r="J25" s="42">
        <v>2766</v>
      </c>
      <c r="K25" s="42">
        <v>3281</v>
      </c>
      <c r="L25" s="42">
        <v>3294</v>
      </c>
      <c r="M25" s="42">
        <v>5184</v>
      </c>
      <c r="N25" s="3"/>
    </row>
    <row r="26" spans="1:14" s="12" customFormat="1" ht="21" customHeight="1" outlineLevel="1" x14ac:dyDescent="0.35">
      <c r="A26" s="39" t="s">
        <v>203</v>
      </c>
      <c r="B26" s="40">
        <v>13950</v>
      </c>
      <c r="C26" s="40">
        <v>17816</v>
      </c>
      <c r="D26" s="40">
        <v>21293</v>
      </c>
      <c r="E26" s="40">
        <v>23379</v>
      </c>
      <c r="F26" s="40">
        <v>22980</v>
      </c>
      <c r="G26" s="40">
        <v>28065</v>
      </c>
      <c r="H26" s="40">
        <v>38885</v>
      </c>
      <c r="I26" s="40">
        <v>43006</v>
      </c>
      <c r="J26" s="40">
        <v>45010</v>
      </c>
      <c r="K26" s="40">
        <v>48877</v>
      </c>
      <c r="L26" s="40">
        <v>49196</v>
      </c>
      <c r="M26" s="40">
        <v>54691</v>
      </c>
      <c r="N26" s="8"/>
    </row>
    <row r="27" spans="1:14" s="12" customFormat="1" ht="21" customHeight="1" outlineLevel="1" x14ac:dyDescent="0.35">
      <c r="A27" s="41" t="s">
        <v>204</v>
      </c>
      <c r="B27" s="42">
        <v>5572</v>
      </c>
      <c r="C27" s="42">
        <v>6470</v>
      </c>
      <c r="D27" s="42">
        <v>7907</v>
      </c>
      <c r="E27" s="42">
        <v>9200</v>
      </c>
      <c r="F27" s="42">
        <v>10406</v>
      </c>
      <c r="G27" s="42">
        <v>12355</v>
      </c>
      <c r="H27" s="42">
        <v>15096</v>
      </c>
      <c r="I27" s="42">
        <v>17501</v>
      </c>
      <c r="J27" s="42">
        <v>19210</v>
      </c>
      <c r="K27" s="42">
        <v>19652</v>
      </c>
      <c r="L27" s="42">
        <v>21574</v>
      </c>
      <c r="M27" s="42">
        <v>23730</v>
      </c>
      <c r="N27" s="3"/>
    </row>
    <row r="28" spans="1:14" s="12" customFormat="1" ht="21" customHeight="1" x14ac:dyDescent="0.35">
      <c r="A28" s="37" t="s">
        <v>205</v>
      </c>
      <c r="B28" s="38">
        <v>961</v>
      </c>
      <c r="C28" s="38">
        <v>776</v>
      </c>
      <c r="D28" s="38">
        <v>960</v>
      </c>
      <c r="E28" s="38">
        <v>1365</v>
      </c>
      <c r="F28" s="38">
        <v>1606</v>
      </c>
      <c r="G28" s="38">
        <v>1388</v>
      </c>
      <c r="H28" s="38">
        <v>954</v>
      </c>
      <c r="I28" s="38">
        <v>922</v>
      </c>
      <c r="J28" s="38">
        <v>416</v>
      </c>
      <c r="K28" s="38">
        <v>288</v>
      </c>
      <c r="L28" s="38">
        <v>293</v>
      </c>
      <c r="M28" s="38">
        <v>814</v>
      </c>
      <c r="N28" s="38">
        <v>1124</v>
      </c>
    </row>
    <row r="29" spans="1:14" s="12" customFormat="1" ht="21" customHeight="1" thickBot="1" x14ac:dyDescent="0.4">
      <c r="A29" s="41" t="s">
        <v>206</v>
      </c>
      <c r="B29" s="42">
        <v>4331</v>
      </c>
      <c r="C29" s="42">
        <v>2270</v>
      </c>
      <c r="D29" s="42">
        <v>1892</v>
      </c>
      <c r="E29" s="42">
        <v>16423</v>
      </c>
      <c r="F29" s="42">
        <v>12163</v>
      </c>
      <c r="G29" s="42">
        <v>11261</v>
      </c>
      <c r="H29" s="42">
        <v>8792</v>
      </c>
      <c r="I29" s="42">
        <v>14205</v>
      </c>
      <c r="J29" s="42">
        <v>20324</v>
      </c>
      <c r="K29" s="42">
        <v>19478</v>
      </c>
      <c r="L29" s="42">
        <v>24623</v>
      </c>
      <c r="M29" s="42">
        <v>23541</v>
      </c>
      <c r="N29" s="42">
        <v>23485</v>
      </c>
    </row>
    <row r="30" spans="1:14" s="12" customFormat="1" ht="21" customHeight="1" x14ac:dyDescent="0.35">
      <c r="A30" s="35" t="s">
        <v>207</v>
      </c>
      <c r="B30" s="36">
        <v>43296</v>
      </c>
      <c r="C30" s="36">
        <v>51897</v>
      </c>
      <c r="D30" s="36">
        <v>58860</v>
      </c>
      <c r="E30" s="36">
        <v>51181</v>
      </c>
      <c r="F30" s="36">
        <v>53006</v>
      </c>
      <c r="G30" s="36">
        <v>55707</v>
      </c>
      <c r="H30" s="36">
        <v>58265</v>
      </c>
      <c r="I30" s="36">
        <v>66879</v>
      </c>
      <c r="J30" s="36">
        <v>70189</v>
      </c>
      <c r="K30" s="36">
        <v>75605</v>
      </c>
      <c r="L30" s="36">
        <v>84822</v>
      </c>
      <c r="M30" s="36">
        <v>92479</v>
      </c>
      <c r="N30" s="36">
        <v>103115</v>
      </c>
    </row>
    <row r="31" spans="1:14" s="12" customFormat="1" ht="21" customHeight="1" outlineLevel="1" x14ac:dyDescent="0.35">
      <c r="A31" s="37" t="s">
        <v>208</v>
      </c>
      <c r="B31" s="38">
        <v>8351</v>
      </c>
      <c r="C31" s="38">
        <v>9713</v>
      </c>
      <c r="D31" s="38">
        <v>11330</v>
      </c>
      <c r="E31" s="38">
        <v>12322</v>
      </c>
      <c r="F31" s="38">
        <v>13142</v>
      </c>
      <c r="G31" s="38">
        <v>14827</v>
      </c>
      <c r="H31" s="38">
        <v>18487</v>
      </c>
      <c r="I31" s="38">
        <v>19294</v>
      </c>
      <c r="J31" s="38">
        <v>22698</v>
      </c>
      <c r="K31" s="38">
        <v>25424</v>
      </c>
      <c r="L31" s="38">
        <v>30193</v>
      </c>
      <c r="M31" s="38">
        <v>31158</v>
      </c>
      <c r="N31" s="38">
        <v>33968</v>
      </c>
    </row>
    <row r="32" spans="1:14" s="12" customFormat="1" ht="21" customHeight="1" outlineLevel="1" x14ac:dyDescent="0.35">
      <c r="A32" s="37" t="s">
        <v>209</v>
      </c>
      <c r="B32" s="38">
        <v>25950</v>
      </c>
      <c r="C32" s="38">
        <v>30367</v>
      </c>
      <c r="D32" s="38">
        <v>32697</v>
      </c>
      <c r="E32" s="38">
        <v>22625</v>
      </c>
      <c r="F32" s="38">
        <v>19818</v>
      </c>
      <c r="G32" s="38">
        <v>19568</v>
      </c>
      <c r="H32" s="38">
        <v>18649</v>
      </c>
      <c r="I32" s="38">
        <v>24714</v>
      </c>
      <c r="J32" s="38">
        <v>17472</v>
      </c>
      <c r="K32" s="38">
        <v>12173</v>
      </c>
      <c r="L32" s="38">
        <v>14786</v>
      </c>
      <c r="M32" s="38">
        <v>24455</v>
      </c>
      <c r="N32" s="38">
        <v>31832</v>
      </c>
    </row>
    <row r="33" spans="1:14" s="12" customFormat="1" ht="21" customHeight="1" outlineLevel="1" x14ac:dyDescent="0.35">
      <c r="A33" s="37" t="s">
        <v>210</v>
      </c>
      <c r="B33" s="38">
        <v>1484</v>
      </c>
      <c r="C33" s="38">
        <v>399</v>
      </c>
      <c r="D33" s="38">
        <v>614</v>
      </c>
      <c r="E33" s="38">
        <v>844</v>
      </c>
      <c r="F33" s="38">
        <v>830</v>
      </c>
      <c r="G33" s="38">
        <v>1524</v>
      </c>
      <c r="H33" s="38">
        <v>1359</v>
      </c>
      <c r="I33" s="38">
        <v>1460</v>
      </c>
      <c r="J33" s="38">
        <v>2491</v>
      </c>
      <c r="K33" s="38">
        <v>3242</v>
      </c>
      <c r="L33" s="38">
        <v>10330</v>
      </c>
      <c r="M33" s="38">
        <v>6717</v>
      </c>
      <c r="N33" s="38">
        <v>4021</v>
      </c>
    </row>
    <row r="34" spans="1:14" s="12" customFormat="1" ht="21" customHeight="1" outlineLevel="1" thickBot="1" x14ac:dyDescent="0.4">
      <c r="A34" s="37" t="s">
        <v>211</v>
      </c>
      <c r="B34" s="38">
        <v>7511</v>
      </c>
      <c r="C34" s="38">
        <v>11418</v>
      </c>
      <c r="D34" s="38">
        <v>14219</v>
      </c>
      <c r="E34" s="38">
        <v>15390</v>
      </c>
      <c r="F34" s="38">
        <v>19216</v>
      </c>
      <c r="G34" s="38">
        <v>19788</v>
      </c>
      <c r="H34" s="38">
        <v>19770</v>
      </c>
      <c r="I34" s="38">
        <v>21411</v>
      </c>
      <c r="J34" s="38">
        <v>27528</v>
      </c>
      <c r="K34" s="38">
        <v>34766</v>
      </c>
      <c r="L34" s="38">
        <v>29513</v>
      </c>
      <c r="M34" s="38">
        <v>30149</v>
      </c>
      <c r="N34" s="38">
        <v>33294</v>
      </c>
    </row>
    <row r="35" spans="1:14" s="12" customFormat="1" ht="21" customHeight="1" x14ac:dyDescent="0.35">
      <c r="A35" s="45" t="s">
        <v>212</v>
      </c>
      <c r="B35" s="46">
        <v>56966</v>
      </c>
      <c r="C35" s="46">
        <v>66289</v>
      </c>
      <c r="D35" s="46">
        <v>75098</v>
      </c>
      <c r="E35" s="46">
        <v>83148</v>
      </c>
      <c r="F35" s="46">
        <v>79349</v>
      </c>
      <c r="G35" s="46">
        <v>84066</v>
      </c>
      <c r="H35" s="46">
        <v>91800</v>
      </c>
      <c r="I35" s="46">
        <v>107511</v>
      </c>
      <c r="J35" s="46">
        <v>116729</v>
      </c>
      <c r="K35" s="46">
        <v>124596</v>
      </c>
      <c r="L35" s="46">
        <v>137360</v>
      </c>
      <c r="M35" s="46">
        <v>147795</v>
      </c>
      <c r="N35" s="46">
        <v>160380</v>
      </c>
    </row>
    <row r="36" spans="1:14" s="10" customFormat="1" ht="21" customHeight="1" x14ac:dyDescent="0.35">
      <c r="A36" s="11"/>
      <c r="B36" s="11"/>
      <c r="C36" s="11"/>
      <c r="D36" s="11"/>
      <c r="E36" s="11"/>
      <c r="F36" s="11"/>
      <c r="G36" s="11"/>
      <c r="H36" s="11"/>
      <c r="I36" s="11"/>
      <c r="J36" s="11"/>
      <c r="K36" s="11"/>
      <c r="L36" s="11"/>
      <c r="M36" s="11"/>
      <c r="N36" s="11"/>
    </row>
  </sheetData>
  <autoFilter ref="A5:N36" xr:uid="{00000000-0009-0000-0000-000005000000}"/>
  <mergeCells count="3">
    <mergeCell ref="A1:N2"/>
    <mergeCell ref="A3:N3"/>
    <mergeCell ref="A4:N4"/>
  </mergeCells>
  <pageMargins left="0.25" right="0.25" top="0.4" bottom="0.4" header="0.15" footer="0.15"/>
  <pageSetup scale="44" fitToHeight="0" orientation="landscape" r:id="rId1"/>
  <headerFooter>
    <oddFooter>&amp;C&amp;"Aptos"&amp;8 Infosys Ltd Financial Analysis | FY2014–FY2025&amp;RPage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1"/>
  <sheetViews>
    <sheetView showGridLines="0" zoomScale="65" zoomScaleNormal="85" workbookViewId="0">
      <selection activeCell="J18" sqref="J18"/>
    </sheetView>
  </sheetViews>
  <sheetFormatPr defaultRowHeight="19" customHeight="1" x14ac:dyDescent="0.35"/>
  <cols>
    <col min="1" max="1" width="10" customWidth="1"/>
    <col min="2" max="2" width="73.36328125" customWidth="1"/>
    <col min="3" max="14" width="16.6328125" customWidth="1"/>
    <col min="15" max="15" width="0.90625" customWidth="1"/>
    <col min="16" max="16" width="28" customWidth="1"/>
    <col min="17" max="17" width="10" customWidth="1"/>
    <col min="18" max="18" width="19" bestFit="1" customWidth="1"/>
    <col min="19" max="29" width="10" customWidth="1"/>
  </cols>
  <sheetData>
    <row r="1" spans="1:29" ht="18" customHeight="1" x14ac:dyDescent="0.35">
      <c r="A1" s="139" t="s">
        <v>213</v>
      </c>
      <c r="B1" s="139"/>
      <c r="C1" s="139"/>
      <c r="D1" s="139"/>
      <c r="E1" s="139"/>
      <c r="F1" s="139"/>
      <c r="G1" s="139"/>
      <c r="H1" s="139"/>
      <c r="I1" s="139"/>
      <c r="J1" s="139"/>
      <c r="K1" s="139"/>
      <c r="L1" s="139"/>
      <c r="M1" s="139"/>
      <c r="N1" s="139"/>
    </row>
    <row r="2" spans="1:29" ht="30" customHeight="1" x14ac:dyDescent="0.35">
      <c r="A2" s="139"/>
      <c r="B2" s="139"/>
      <c r="C2" s="139"/>
      <c r="D2" s="139"/>
      <c r="E2" s="139"/>
      <c r="F2" s="139"/>
      <c r="G2" s="139"/>
      <c r="H2" s="139"/>
      <c r="I2" s="139"/>
      <c r="J2" s="139"/>
      <c r="K2" s="139"/>
      <c r="L2" s="139"/>
      <c r="M2" s="139"/>
      <c r="N2" s="139"/>
    </row>
    <row r="3" spans="1:29" ht="19" customHeight="1" x14ac:dyDescent="0.35">
      <c r="A3" s="34" t="s">
        <v>214</v>
      </c>
      <c r="B3" s="34" t="s">
        <v>215</v>
      </c>
      <c r="C3" s="49">
        <v>41699</v>
      </c>
      <c r="D3" s="49">
        <v>42064</v>
      </c>
      <c r="E3" s="49">
        <v>42430</v>
      </c>
      <c r="F3" s="49">
        <v>42795</v>
      </c>
      <c r="G3" s="49">
        <v>43160</v>
      </c>
      <c r="H3" s="49">
        <v>43525</v>
      </c>
      <c r="I3" s="49">
        <v>43891</v>
      </c>
      <c r="J3" s="49">
        <v>44256</v>
      </c>
      <c r="K3" s="49">
        <v>44621</v>
      </c>
      <c r="L3" s="49">
        <v>44986</v>
      </c>
      <c r="M3" s="49">
        <v>45352</v>
      </c>
      <c r="N3" s="49">
        <v>45717</v>
      </c>
      <c r="O3" s="21"/>
    </row>
    <row r="4" spans="1:29" ht="23.5" customHeight="1" x14ac:dyDescent="0.35">
      <c r="A4" s="50">
        <v>1</v>
      </c>
      <c r="B4" s="51" t="s">
        <v>216</v>
      </c>
    </row>
    <row r="5" spans="1:29" ht="23.5" customHeight="1" x14ac:dyDescent="0.35">
      <c r="A5" s="52" t="s">
        <v>217</v>
      </c>
      <c r="B5" s="53" t="s">
        <v>269</v>
      </c>
      <c r="C5" s="26"/>
      <c r="D5" s="54">
        <f>'Profit &amp; Loss'!C6/'Profit &amp; Loss'!B6-1</f>
        <v>6.3550954461133458E-2</v>
      </c>
      <c r="E5" s="54">
        <f>'Profit &amp; Loss'!D6/'Profit &amp; Loss'!C6-1</f>
        <v>0.17108347868489648</v>
      </c>
      <c r="F5" s="54">
        <f>'Profit &amp; Loss'!E6/'Profit &amp; Loss'!D6-1</f>
        <v>9.67793597155715E-2</v>
      </c>
      <c r="G5" s="54">
        <f>'Profit &amp; Loss'!F6/'Profit &amp; Loss'!E6-1</f>
        <v>2.9758775772443125E-2</v>
      </c>
      <c r="H5" s="54">
        <f>'Profit &amp; Loss'!G6/'Profit &amp; Loss'!F6-1</f>
        <v>0.17232920223476356</v>
      </c>
      <c r="I5" s="54">
        <f>'Profit &amp; Loss'!H6/'Profit &amp; Loss'!G6-1</f>
        <v>9.8167523435137571E-2</v>
      </c>
      <c r="J5" s="54">
        <f>'Profit &amp; Loss'!I6/'Profit &amp; Loss'!H6-1</f>
        <v>0.10662951173574475</v>
      </c>
      <c r="K5" s="54">
        <f>'Profit &amp; Loss'!J6/'Profit &amp; Loss'!I6-1</f>
        <v>0.21069551715900947</v>
      </c>
      <c r="L5" s="54">
        <f>'Profit &amp; Loss'!K6/'Profit &amp; Loss'!J6-1</f>
        <v>0.20655864387829759</v>
      </c>
      <c r="M5" s="54">
        <f>'Profit &amp; Loss'!L6/'Profit &amp; Loss'!K6-1</f>
        <v>4.7033733741236095E-2</v>
      </c>
      <c r="N5" s="54">
        <f>'Profit &amp; Loss'!M6/'Profit &amp; Loss'!L6-1</f>
        <v>6.0649443612936782E-2</v>
      </c>
      <c r="O5" s="18"/>
    </row>
    <row r="6" spans="1:29" ht="22.5" customHeight="1" x14ac:dyDescent="0.35">
      <c r="A6" s="52" t="s">
        <v>217</v>
      </c>
      <c r="B6" s="53" t="s">
        <v>218</v>
      </c>
      <c r="C6" s="55">
        <f>'Profit &amp; Loss'!B13</f>
        <v>0.27</v>
      </c>
      <c r="D6" s="55">
        <f>'Profit &amp; Loss'!C13</f>
        <v>0.28000000000000003</v>
      </c>
      <c r="E6" s="55">
        <f>'Profit &amp; Loss'!D13</f>
        <v>0.27</v>
      </c>
      <c r="F6" s="55">
        <f>'Profit &amp; Loss'!E13</f>
        <v>0.27</v>
      </c>
      <c r="G6" s="55">
        <f>'Profit &amp; Loss'!F13</f>
        <v>0.27</v>
      </c>
      <c r="H6" s="55">
        <f>'Profit &amp; Loss'!G13</f>
        <v>0.24</v>
      </c>
      <c r="I6" s="55">
        <f>'Profit &amp; Loss'!H13</f>
        <v>0.25</v>
      </c>
      <c r="J6" s="55">
        <f>'Profit &amp; Loss'!I13</f>
        <v>0.28000000000000003</v>
      </c>
      <c r="K6" s="55">
        <f>'Profit &amp; Loss'!J13</f>
        <v>0.26</v>
      </c>
      <c r="L6" s="55">
        <f>'Profit &amp; Loss'!K13</f>
        <v>0.24</v>
      </c>
      <c r="M6" s="55">
        <f>'Profit &amp; Loss'!L13</f>
        <v>0.24</v>
      </c>
      <c r="N6" s="55">
        <f>'Profit &amp; Loss'!M13</f>
        <v>0.24</v>
      </c>
      <c r="O6" s="19"/>
      <c r="P6" s="56" t="s">
        <v>219</v>
      </c>
      <c r="Q6" s="20"/>
      <c r="R6" s="57">
        <f>AVERAGE(C6:N6)</f>
        <v>0.25916666666666671</v>
      </c>
    </row>
    <row r="7" spans="1:29" ht="32.5" customHeight="1" x14ac:dyDescent="0.35">
      <c r="A7" s="52" t="s">
        <v>217</v>
      </c>
      <c r="B7" s="53" t="s">
        <v>220</v>
      </c>
      <c r="C7" s="61">
        <f>'Profit &amp; Loss'!B21/'Profit &amp; Loss'!B6</f>
        <v>0.21255460475136137</v>
      </c>
      <c r="D7" s="61">
        <f>'Profit &amp; Loss'!C21/'Profit &amp; Loss'!C6</f>
        <v>0.2320373600405109</v>
      </c>
      <c r="E7" s="61">
        <f>'Profit &amp; Loss'!D21/'Profit &amp; Loss'!D6</f>
        <v>0.21602793036626575</v>
      </c>
      <c r="F7" s="61">
        <f>'Profit &amp; Loss'!E21/'Profit &amp; Loss'!E6</f>
        <v>0.20958180012849717</v>
      </c>
      <c r="G7" s="61">
        <f>'Profit &amp; Loss'!F21/'Profit &amp; Loss'!F6</f>
        <v>0.22729077451008195</v>
      </c>
      <c r="H7" s="61">
        <f>'Profit &amp; Loss'!G21/'Profit &amp; Loss'!G6</f>
        <v>0.18639250075597219</v>
      </c>
      <c r="I7" s="61">
        <f>'Profit &amp; Loss'!H21/'Profit &amp; Loss'!H6</f>
        <v>0.18326706391602693</v>
      </c>
      <c r="J7" s="61">
        <f>'Profit &amp; Loss'!I21/'Profit &amp; Loss'!I6</f>
        <v>0.19331754120550998</v>
      </c>
      <c r="K7" s="61">
        <f>'Profit &amp; Loss'!J21/'Profit &amp; Loss'!J6</f>
        <v>0.1820603250548746</v>
      </c>
      <c r="L7" s="61">
        <f>'Profit &amp; Loss'!K21/'Profit &amp; Loss'!K6</f>
        <v>0.16426035825492105</v>
      </c>
      <c r="M7" s="61">
        <f>'Profit &amp; Loss'!L21/'Profit &amp; Loss'!L6</f>
        <v>0.17080757467300059</v>
      </c>
      <c r="N7" s="61">
        <f>'Profit &amp; Loss'!M21/'Profit &amp; Loss'!M6</f>
        <v>0.16412049819007302</v>
      </c>
      <c r="O7" s="18"/>
      <c r="P7" s="56" t="s">
        <v>221</v>
      </c>
      <c r="Q7" s="20"/>
    </row>
    <row r="8" spans="1:29" ht="19" customHeight="1" x14ac:dyDescent="0.35">
      <c r="C8" s="26"/>
      <c r="D8" s="26"/>
      <c r="E8" s="26"/>
      <c r="F8" s="26"/>
      <c r="G8" s="26"/>
      <c r="H8" s="26"/>
      <c r="I8" s="26"/>
      <c r="J8" s="26"/>
      <c r="K8" s="26"/>
      <c r="L8" s="26"/>
      <c r="M8" s="26"/>
      <c r="N8" s="26"/>
    </row>
    <row r="9" spans="1:29" ht="19" customHeight="1" x14ac:dyDescent="0.35">
      <c r="A9" s="50">
        <v>2</v>
      </c>
      <c r="B9" s="51" t="s">
        <v>222</v>
      </c>
      <c r="C9" s="26"/>
      <c r="D9" s="26"/>
      <c r="E9" s="26"/>
      <c r="F9" s="26"/>
      <c r="G9" s="26"/>
      <c r="H9" s="26"/>
      <c r="I9" s="26"/>
      <c r="J9" s="26"/>
      <c r="K9" s="26"/>
      <c r="L9" s="26"/>
      <c r="M9" s="26"/>
      <c r="N9" s="26"/>
    </row>
    <row r="10" spans="1:29" ht="29.5" customHeight="1" x14ac:dyDescent="0.35">
      <c r="A10" s="52" t="s">
        <v>217</v>
      </c>
      <c r="B10" s="53" t="s">
        <v>223</v>
      </c>
      <c r="C10" s="54">
        <f>'Profit &amp; Loss'!B6/'Balance sheet'!B16/100</f>
        <v>5.9838863690618284E-2</v>
      </c>
      <c r="D10" s="54">
        <f>'Profit &amp; Loss'!C6/'Balance sheet'!C16/100</f>
        <v>4.6993654151242729E-2</v>
      </c>
      <c r="E10" s="54">
        <f>'Profit &amp; Loss'!D6/'Balance sheet'!D16/100</f>
        <v>4.6646496339459137E-2</v>
      </c>
      <c r="F10" s="54">
        <f>'Profit &amp; Loss'!E6/'Balance sheet'!E16/100</f>
        <v>4.8299597997037876E-2</v>
      </c>
      <c r="G10" s="54">
        <f>'Profit &amp; Loss'!F6/'Balance sheet'!F16/100</f>
        <v>5.6085573405439799E-2</v>
      </c>
      <c r="H10" s="54">
        <f>'Profit &amp; Loss'!G6/'Balance sheet'!G16/100</f>
        <v>5.2625716104392109E-2</v>
      </c>
      <c r="I10" s="54">
        <f>'Profit &amp; Loss'!H6/'Balance sheet'!H16/100</f>
        <v>3.8165118332002188E-2</v>
      </c>
      <c r="J10" s="54">
        <f>'Profit &amp; Loss'!I6/'Balance sheet'!I16/100</f>
        <v>3.9393060184277594E-2</v>
      </c>
      <c r="K10" s="54">
        <f>'Profit &amp; Loss'!J6/'Balance sheet'!J16/100</f>
        <v>4.7147674418604651E-2</v>
      </c>
      <c r="L10" s="54">
        <f>'Profit &amp; Loss'!K6/'Balance sheet'!K16/100</f>
        <v>5.0219674935842597E-2</v>
      </c>
      <c r="M10" s="54">
        <f>'Profit &amp; Loss'!L6/'Balance sheet'!L16/100</f>
        <v>5.5633190934762142E-2</v>
      </c>
      <c r="N10" s="54">
        <f>'Profit &amp; Loss'!M6/'Balance sheet'!M16/100</f>
        <v>5.2643648460967023E-2</v>
      </c>
      <c r="P10" s="56" t="s">
        <v>224</v>
      </c>
      <c r="Q10" s="20"/>
      <c r="R10" s="58">
        <f>AVERAGE(C10:N10)</f>
        <v>4.9474355746220507E-2</v>
      </c>
    </row>
    <row r="11" spans="1:29" ht="34.5" customHeight="1" x14ac:dyDescent="0.35">
      <c r="A11" s="52" t="s">
        <v>217</v>
      </c>
      <c r="B11" s="53" t="s">
        <v>225</v>
      </c>
      <c r="C11" s="54">
        <f>'Balance sheet'!B31+'Balance sheet'!B32+'Balance sheet'!B33+'Balance sheet'!B34-'Balance sheet'!B12+'Balance sheet'!B13+'Balance sheet'!B14</f>
        <v>55386</v>
      </c>
      <c r="D11" s="54">
        <f>'Balance sheet'!C31+'Balance sheet'!C32+'Balance sheet'!C33+'Balance sheet'!C34-'Balance sheet'!C12+'Balance sheet'!C13+'Balance sheet'!C14</f>
        <v>67170</v>
      </c>
      <c r="E11" s="54">
        <f>'Balance sheet'!D31+'Balance sheet'!D32+'Balance sheet'!D33+'Balance sheet'!D34-'Balance sheet'!D12+'Balance sheet'!D13+'Balance sheet'!D14</f>
        <v>71442</v>
      </c>
      <c r="F11" s="54">
        <f>'Balance sheet'!E31+'Balance sheet'!E32+'Balance sheet'!E33+'Balance sheet'!E34-'Balance sheet'!E12+'Balance sheet'!E13+'Balance sheet'!E14</f>
        <v>64613</v>
      </c>
      <c r="G11" s="54">
        <f>'Balance sheet'!F31+'Balance sheet'!F32+'Balance sheet'!F33+'Balance sheet'!F34-'Balance sheet'!F12+'Balance sheet'!F13+'Balance sheet'!F14</f>
        <v>66043</v>
      </c>
      <c r="H11" s="54">
        <f>'Balance sheet'!G31+'Balance sheet'!G32+'Balance sheet'!G33+'Balance sheet'!G34-'Balance sheet'!G12+'Balance sheet'!G13+'Balance sheet'!G14</f>
        <v>71457</v>
      </c>
      <c r="I11" s="54">
        <f>'Balance sheet'!H31+'Balance sheet'!H32+'Balance sheet'!H33+'Balance sheet'!H34-'Balance sheet'!H12+'Balance sheet'!H13+'Balance sheet'!H14</f>
        <v>73884</v>
      </c>
      <c r="J11" s="54">
        <f>'Balance sheet'!I31+'Balance sheet'!I32+'Balance sheet'!I33+'Balance sheet'!I34-'Balance sheet'!I12+'Balance sheet'!I13+'Balance sheet'!I14</f>
        <v>86993</v>
      </c>
      <c r="K11" s="54">
        <f>'Balance sheet'!J31+'Balance sheet'!J32+'Balance sheet'!J33+'Balance sheet'!J34-'Balance sheet'!J12+'Balance sheet'!J13+'Balance sheet'!J14</f>
        <v>97440</v>
      </c>
      <c r="L11" s="54">
        <f>'Balance sheet'!K31+'Balance sheet'!K32+'Balance sheet'!K33+'Balance sheet'!K34-'Balance sheet'!K12+'Balance sheet'!K13+'Balance sheet'!K14</f>
        <v>108377</v>
      </c>
      <c r="M11" s="54">
        <f>'Balance sheet'!L31+'Balance sheet'!L32+'Balance sheet'!L33+'Balance sheet'!L34-'Balance sheet'!L12+'Balance sheet'!L13+'Balance sheet'!L14</f>
        <v>117450</v>
      </c>
      <c r="N11" s="54">
        <f>('Balance sheet'!M31+'Balance sheet'!M32+'Balance sheet'!M33+'Balance sheet'!M34)-('Balance sheet'!M12+'Balance sheet'!M13+'Balance sheet'!M14)</f>
        <v>49114</v>
      </c>
    </row>
    <row r="12" spans="1:29" ht="30" customHeight="1" x14ac:dyDescent="0.35">
      <c r="A12" s="52" t="s">
        <v>217</v>
      </c>
      <c r="B12" s="53" t="s">
        <v>226</v>
      </c>
      <c r="C12" s="100">
        <f>AVERAGE('Balance sheet'!A31,'Balance sheet'!B31)/'Balance sheet'!B7*365</f>
        <v>68.893296266160377</v>
      </c>
      <c r="D12" s="100">
        <f>AVERAGE('Balance sheet'!B31,'Balance sheet'!C31)/'Balance sheet'!C7*365</f>
        <v>65.718044813013307</v>
      </c>
      <c r="E12" s="100">
        <f>AVERAGE('Balance sheet'!C31,'Balance sheet'!D31)/'Balance sheet'!D7*365</f>
        <v>63.372070957095708</v>
      </c>
      <c r="F12" s="100">
        <f>AVERAGE('Balance sheet'!D31,'Balance sheet'!E31)/'Balance sheet'!E7*365</f>
        <v>63.629381762434036</v>
      </c>
      <c r="G12" s="100">
        <f>AVERAGE('Balance sheet'!E31,'Balance sheet'!F31)/'Balance sheet'!F7*365</f>
        <v>72.799874676901382</v>
      </c>
      <c r="H12" s="100">
        <f>AVERAGE('Balance sheet'!F31,'Balance sheet'!G31)/'Balance sheet'!G7*365</f>
        <v>81.307822804167074</v>
      </c>
      <c r="I12" s="100">
        <f>AVERAGE('Balance sheet'!G31,'Balance sheet'!H31)/'Balance sheet'!H7*365</f>
        <v>96.005005684689237</v>
      </c>
      <c r="J12" s="100">
        <f>AVERAGE('Balance sheet'!H31,'Balance sheet'!I31)/'Balance sheet'!I7*365</f>
        <v>92.891164939981394</v>
      </c>
      <c r="K12" s="100">
        <f>AVERAGE('Balance sheet'!I31,'Balance sheet'!J31)/'Balance sheet'!J7*365</f>
        <v>104.61884999726971</v>
      </c>
      <c r="L12" s="100">
        <f>AVERAGE('Balance sheet'!J31,'Balance sheet'!K31)/'Balance sheet'!K7*365</f>
        <v>119.75053860208895</v>
      </c>
      <c r="M12" s="100">
        <f>AVERAGE('Balance sheet'!K31,'Balance sheet'!L31)/'Balance sheet'!L7*365</f>
        <v>117.96272299378234</v>
      </c>
      <c r="N12" s="100">
        <f>AVERAGE('Balance sheet'!L31,'Balance sheet'!M31)/'Balance sheet'!M7*365</f>
        <v>119.43631660355219</v>
      </c>
    </row>
    <row r="13" spans="1:29" ht="19" customHeight="1" x14ac:dyDescent="0.35">
      <c r="A13" s="52" t="s">
        <v>217</v>
      </c>
      <c r="B13" s="53" t="s">
        <v>227</v>
      </c>
      <c r="C13" s="138" t="s">
        <v>228</v>
      </c>
      <c r="D13" s="138"/>
      <c r="E13" s="138"/>
      <c r="F13" s="138"/>
      <c r="G13" s="138"/>
      <c r="H13" s="138"/>
      <c r="I13" s="138"/>
      <c r="J13" s="138"/>
      <c r="K13" s="138"/>
      <c r="L13" s="138"/>
      <c r="M13" s="138"/>
      <c r="N13" s="138"/>
      <c r="S13" s="29"/>
      <c r="T13" s="29"/>
      <c r="U13" s="29"/>
      <c r="V13" s="29"/>
      <c r="W13" s="29"/>
      <c r="X13" s="29"/>
      <c r="Y13" s="29"/>
      <c r="Z13" s="29"/>
      <c r="AA13" s="29"/>
      <c r="AB13" s="29"/>
      <c r="AC13" s="29"/>
    </row>
    <row r="14" spans="1:29" ht="19" customHeight="1" x14ac:dyDescent="0.35">
      <c r="A14" s="52" t="s">
        <v>217</v>
      </c>
      <c r="B14" s="53" t="s">
        <v>229</v>
      </c>
      <c r="C14" s="100">
        <f>AVERAGE('Balance sheet'!A12,'Balance sheet'!B12)/'Profit &amp; Loss'!B8*365</f>
        <v>1.718558637019296</v>
      </c>
      <c r="D14" s="100">
        <f>AVERAGE('Balance sheet'!B12,'Balance sheet'!C12)/'Profit &amp; Loss'!C8*365</f>
        <v>1.4861718180872101</v>
      </c>
      <c r="E14" s="100">
        <f>AVERAGE('Balance sheet'!C12,'Balance sheet'!D12)/'Profit &amp; Loss'!D8*365</f>
        <v>2.1161985803095105</v>
      </c>
      <c r="F14" s="100">
        <f>AVERAGE('Balance sheet'!D12,'Balance sheet'!E12)/'Profit &amp; Loss'!E8*365</f>
        <v>2.755062149157979</v>
      </c>
      <c r="G14" s="100">
        <f>AVERAGE('Balance sheet'!E12,'Balance sheet'!F12)/'Profit &amp; Loss'!F8*365</f>
        <v>3.7453094777562863</v>
      </c>
      <c r="H14" s="100">
        <f>AVERAGE('Balance sheet'!F12,'Balance sheet'!G12)/'Profit &amp; Loss'!G8*365</f>
        <v>6.8585313174946005</v>
      </c>
      <c r="I14" s="100">
        <f>AVERAGE('Balance sheet'!G12,'Balance sheet'!H12)/'Profit &amp; Loss'!H8*365</f>
        <v>12.003495125795341</v>
      </c>
      <c r="J14" s="100">
        <f>AVERAGE('Balance sheet'!H12,'Balance sheet'!I12)/'Profit &amp; Loss'!I8*365</f>
        <v>13.821452681757435</v>
      </c>
      <c r="K14" s="100">
        <f>AVERAGE('Balance sheet'!I12,'Balance sheet'!J12)/'Profit &amp; Loss'!J8*365</f>
        <v>13.723433166943982</v>
      </c>
      <c r="L14" s="100">
        <f>AVERAGE('Balance sheet'!J12,'Balance sheet'!K12)/'Profit &amp; Loss'!K8*365</f>
        <v>13.076466583659538</v>
      </c>
      <c r="M14" s="100">
        <f>AVERAGE('Balance sheet'!K12,'Balance sheet'!L12)/'Profit &amp; Loss'!L8*365</f>
        <v>12.173930658023796</v>
      </c>
      <c r="N14" s="100">
        <f>AVERAGE('Balance sheet'!L12,'Balance sheet'!M12)/'Profit &amp; Loss'!M8*365</f>
        <v>11.97456243838583</v>
      </c>
    </row>
    <row r="15" spans="1:29" s="22" customFormat="1" ht="19" customHeight="1" x14ac:dyDescent="0.35">
      <c r="A15" s="59" t="s">
        <v>217</v>
      </c>
      <c r="B15" s="60" t="s">
        <v>230</v>
      </c>
      <c r="C15" s="61">
        <f>'Balance sheet'!B8/('Balance sheet'!B8+SUM('Balance sheet'!B6:B7))</f>
        <v>0</v>
      </c>
      <c r="D15" s="61">
        <f>'Balance sheet'!C8/('Balance sheet'!C8+SUM('Balance sheet'!C6:C7))</f>
        <v>0</v>
      </c>
      <c r="E15" s="61">
        <f>'Balance sheet'!D8/('Balance sheet'!D8+SUM('Balance sheet'!D6:D7))</f>
        <v>0</v>
      </c>
      <c r="F15" s="61">
        <f>'Balance sheet'!E8/('Balance sheet'!E8+SUM('Balance sheet'!E6:E7))</f>
        <v>0</v>
      </c>
      <c r="G15" s="61">
        <f>'Balance sheet'!F8/('Balance sheet'!F8+SUM('Balance sheet'!F6:F7))</f>
        <v>0</v>
      </c>
      <c r="H15" s="61">
        <f>'Balance sheet'!G8/('Balance sheet'!G8+SUM('Balance sheet'!G6:G7))</f>
        <v>0</v>
      </c>
      <c r="I15" s="61">
        <f>'Balance sheet'!H8/('Balance sheet'!H8+SUM('Balance sheet'!H6:H7))</f>
        <v>6.610732988028481E-2</v>
      </c>
      <c r="J15" s="61">
        <f>'Balance sheet'!I8/('Balance sheet'!I8+SUM('Balance sheet'!I6:I7))</f>
        <v>6.5196630589157159E-2</v>
      </c>
      <c r="K15" s="61">
        <f>'Balance sheet'!J8/('Balance sheet'!J8+SUM('Balance sheet'!J6:J7))</f>
        <v>6.7727407700682959E-2</v>
      </c>
      <c r="L15" s="61">
        <f>'Balance sheet'!K8/('Balance sheet'!K8+SUM('Balance sheet'!K6:K7))</f>
        <v>9.9144625235944861E-2</v>
      </c>
      <c r="M15" s="61">
        <f>'Balance sheet'!L8/('Balance sheet'!L8+SUM('Balance sheet'!L6:L7))</f>
        <v>8.6644208344130599E-2</v>
      </c>
      <c r="N15" s="61">
        <f>'Balance sheet'!M8/('Balance sheet'!M8+SUM('Balance sheet'!M6:M7))</f>
        <v>7.9071555576913838E-2</v>
      </c>
    </row>
    <row r="16" spans="1:29" ht="19" customHeight="1" x14ac:dyDescent="0.35">
      <c r="C16" s="27"/>
      <c r="D16" s="26"/>
      <c r="E16" s="26"/>
      <c r="F16" s="26"/>
      <c r="G16" s="26"/>
      <c r="H16" s="26"/>
      <c r="I16" s="26"/>
      <c r="J16" s="26"/>
      <c r="K16" s="26"/>
      <c r="L16" s="26"/>
      <c r="M16" s="26"/>
      <c r="N16" s="26"/>
    </row>
    <row r="17" spans="1:26" ht="19" customHeight="1" x14ac:dyDescent="0.35">
      <c r="C17" s="26"/>
      <c r="D17" s="26"/>
      <c r="E17" s="26"/>
      <c r="F17" s="26"/>
      <c r="G17" s="26"/>
      <c r="H17" s="26"/>
      <c r="I17" s="26"/>
      <c r="J17" s="26"/>
      <c r="K17" s="26"/>
      <c r="L17" s="26"/>
      <c r="M17" s="26"/>
      <c r="N17" s="26"/>
    </row>
    <row r="18" spans="1:26" ht="19" customHeight="1" x14ac:dyDescent="0.35">
      <c r="A18" s="50">
        <v>3</v>
      </c>
      <c r="B18" s="51" t="s">
        <v>231</v>
      </c>
      <c r="C18" s="26"/>
      <c r="D18" s="26"/>
      <c r="E18" s="26"/>
      <c r="F18" s="26"/>
      <c r="G18" s="26"/>
      <c r="H18" s="26"/>
      <c r="I18" s="26"/>
      <c r="J18" s="26"/>
      <c r="K18" s="26"/>
      <c r="L18" s="26"/>
      <c r="M18" s="26"/>
      <c r="N18" s="28"/>
    </row>
    <row r="19" spans="1:26" ht="47" customHeight="1" x14ac:dyDescent="0.35">
      <c r="A19" s="52" t="s">
        <v>217</v>
      </c>
      <c r="B19" s="53" t="s">
        <v>232</v>
      </c>
      <c r="C19" s="55">
        <f>'Cash Flow Statement'!B6</f>
        <v>9825</v>
      </c>
      <c r="D19" s="55">
        <f>'Cash Flow Statement'!C6</f>
        <v>8353</v>
      </c>
      <c r="E19" s="55">
        <f>'Cash Flow Statement'!D6</f>
        <v>10028</v>
      </c>
      <c r="F19" s="55">
        <f>'Cash Flow Statement'!E6</f>
        <v>11531</v>
      </c>
      <c r="G19" s="55">
        <f>'Cash Flow Statement'!F6</f>
        <v>13218</v>
      </c>
      <c r="H19" s="55">
        <f>'Cash Flow Statement'!G6</f>
        <v>14841</v>
      </c>
      <c r="I19" s="55">
        <f>'Cash Flow Statement'!H6</f>
        <v>17003</v>
      </c>
      <c r="J19" s="55">
        <f>'Cash Flow Statement'!I6</f>
        <v>23224</v>
      </c>
      <c r="K19" s="55">
        <f>'Cash Flow Statement'!J6</f>
        <v>23885</v>
      </c>
      <c r="L19" s="55">
        <f>'Cash Flow Statement'!K6</f>
        <v>22467</v>
      </c>
      <c r="M19" s="55">
        <f>'Cash Flow Statement'!L6</f>
        <v>25210</v>
      </c>
      <c r="N19" s="55">
        <f>'Cash Flow Statement'!M6</f>
        <v>35694</v>
      </c>
      <c r="O19" s="23"/>
      <c r="P19" s="137" t="s">
        <v>233</v>
      </c>
      <c r="Q19" s="109"/>
      <c r="R19" s="109"/>
      <c r="S19" s="109"/>
      <c r="T19" s="109"/>
      <c r="U19" s="109"/>
      <c r="V19" s="109"/>
      <c r="W19" s="29"/>
      <c r="X19" s="29"/>
      <c r="Y19" s="29"/>
      <c r="Z19" s="29"/>
    </row>
    <row r="20" spans="1:26" ht="19" customHeight="1" x14ac:dyDescent="0.35">
      <c r="A20" s="52" t="s">
        <v>217</v>
      </c>
      <c r="B20" s="53" t="s">
        <v>234</v>
      </c>
      <c r="C20" s="55">
        <f>'Profit &amp; Loss'!B21</f>
        <v>10656</v>
      </c>
      <c r="D20" s="55">
        <f>'Profit &amp; Loss'!C21</f>
        <v>12372</v>
      </c>
      <c r="E20" s="55">
        <f>'Profit &amp; Loss'!D21</f>
        <v>13489</v>
      </c>
      <c r="F20" s="55">
        <f>'Profit &amp; Loss'!E21</f>
        <v>14353</v>
      </c>
      <c r="G20" s="55">
        <f>'Profit &amp; Loss'!F21</f>
        <v>16029</v>
      </c>
      <c r="H20" s="55">
        <f>'Profit &amp; Loss'!G21</f>
        <v>15410</v>
      </c>
      <c r="I20" s="55">
        <f>'Profit &amp; Loss'!H21</f>
        <v>16639</v>
      </c>
      <c r="J20" s="55">
        <f>'Profit &amp; Loss'!I21</f>
        <v>19423</v>
      </c>
      <c r="K20" s="55">
        <f>'Profit &amp; Loss'!J21</f>
        <v>22146</v>
      </c>
      <c r="L20" s="55">
        <f>'Profit &amp; Loss'!K21</f>
        <v>24108</v>
      </c>
      <c r="M20" s="55">
        <f>'Profit &amp; Loss'!L21</f>
        <v>26248</v>
      </c>
      <c r="N20" s="55">
        <f>'Profit &amp; Loss'!M21</f>
        <v>26750</v>
      </c>
      <c r="O20" s="23"/>
    </row>
    <row r="21" spans="1:26" ht="19" customHeight="1" x14ac:dyDescent="0.35">
      <c r="A21" s="52" t="s">
        <v>217</v>
      </c>
      <c r="B21" s="53" t="s">
        <v>235</v>
      </c>
      <c r="C21" s="55">
        <f>'Cash Flow Statement'!B7</f>
        <v>14172</v>
      </c>
      <c r="D21" s="55">
        <f>'Cash Flow Statement'!C7</f>
        <v>15946</v>
      </c>
      <c r="E21" s="55">
        <f>'Cash Flow Statement'!D7</f>
        <v>17839</v>
      </c>
      <c r="F21" s="55">
        <f>'Cash Flow Statement'!E7</f>
        <v>19340</v>
      </c>
      <c r="G21" s="55">
        <f>'Cash Flow Statement'!F7</f>
        <v>19963</v>
      </c>
      <c r="H21" s="55">
        <f>'Cash Flow Statement'!G7</f>
        <v>22126</v>
      </c>
      <c r="I21" s="55">
        <f>'Cash Flow Statement'!H7</f>
        <v>23920</v>
      </c>
      <c r="J21" s="55">
        <f>'Cash Flow Statement'!I7</f>
        <v>28845</v>
      </c>
      <c r="K21" s="55">
        <f>'Cash Flow Statement'!J7</f>
        <v>32921</v>
      </c>
      <c r="L21" s="55">
        <f>'Cash Flow Statement'!K7</f>
        <v>37605</v>
      </c>
      <c r="M21" s="55">
        <f>'Cash Flow Statement'!L7</f>
        <v>39523</v>
      </c>
      <c r="N21" s="55">
        <f>'Cash Flow Statement'!M7</f>
        <v>41591</v>
      </c>
      <c r="O21" s="23"/>
    </row>
    <row r="22" spans="1:26" ht="19" customHeight="1" x14ac:dyDescent="0.35">
      <c r="A22" s="52" t="s">
        <v>217</v>
      </c>
      <c r="B22" s="53" t="s">
        <v>236</v>
      </c>
      <c r="C22" s="55">
        <f>'Cash Flow Statement'!B8</f>
        <v>-1406</v>
      </c>
      <c r="D22" s="55">
        <f>'Cash Flow Statement'!C8</f>
        <v>-1475</v>
      </c>
      <c r="E22" s="55">
        <f>'Cash Flow Statement'!D8</f>
        <v>-1654</v>
      </c>
      <c r="F22" s="55">
        <f>'Cash Flow Statement'!E8</f>
        <v>-1743</v>
      </c>
      <c r="G22" s="55">
        <f>'Cash Flow Statement'!F8</f>
        <v>-1523</v>
      </c>
      <c r="H22" s="55">
        <f>'Cash Flow Statement'!G8</f>
        <v>-2881</v>
      </c>
      <c r="I22" s="55">
        <f>'Cash Flow Statement'!H8</f>
        <v>-3861</v>
      </c>
      <c r="J22" s="55">
        <f>'Cash Flow Statement'!I8</f>
        <v>-1835</v>
      </c>
      <c r="K22" s="55">
        <f>'Cash Flow Statement'!J8</f>
        <v>-7937</v>
      </c>
      <c r="L22" s="55">
        <f>'Cash Flow Statement'!K8</f>
        <v>-7076</v>
      </c>
      <c r="M22" s="55">
        <f>'Cash Flow Statement'!L8</f>
        <v>-2667</v>
      </c>
      <c r="N22" s="55">
        <f>'Cash Flow Statement'!M8</f>
        <v>-1769</v>
      </c>
      <c r="O22" s="23"/>
    </row>
    <row r="23" spans="1:26" ht="19" customHeight="1" x14ac:dyDescent="0.35">
      <c r="A23" s="52" t="s">
        <v>217</v>
      </c>
      <c r="B23" s="53" t="s">
        <v>237</v>
      </c>
      <c r="C23" s="55">
        <f>'Cash Flow Statement'!B9</f>
        <v>0</v>
      </c>
      <c r="D23" s="55">
        <f>'Cash Flow Statement'!C9</f>
        <v>0</v>
      </c>
      <c r="E23" s="55">
        <f>'Cash Flow Statement'!D9</f>
        <v>242</v>
      </c>
      <c r="F23" s="55">
        <f>'Cash Flow Statement'!E9</f>
        <v>-19</v>
      </c>
      <c r="G23" s="55">
        <f>'Cash Flow Statement'!F9</f>
        <v>328</v>
      </c>
      <c r="H23" s="55">
        <f>'Cash Flow Statement'!G9</f>
        <v>916</v>
      </c>
      <c r="I23" s="55">
        <f>'Cash Flow Statement'!H9</f>
        <v>-373</v>
      </c>
      <c r="J23" s="55">
        <f>'Cash Flow Statement'!I9</f>
        <v>-245</v>
      </c>
      <c r="K23" s="55">
        <f>'Cash Flow Statement'!J9</f>
        <v>1489</v>
      </c>
      <c r="L23" s="55">
        <f>'Cash Flow Statement'!K9</f>
        <v>-279</v>
      </c>
      <c r="M23" s="55">
        <f>'Cash Flow Statement'!L9</f>
        <v>91</v>
      </c>
      <c r="N23" s="55">
        <f>'Cash Flow Statement'!M9</f>
        <v>176</v>
      </c>
      <c r="O23" s="23"/>
    </row>
    <row r="24" spans="1:26" ht="19" customHeight="1" x14ac:dyDescent="0.35">
      <c r="A24" s="52" t="s">
        <v>217</v>
      </c>
      <c r="B24" s="53" t="s">
        <v>238</v>
      </c>
      <c r="C24" s="82">
        <v>10656</v>
      </c>
      <c r="D24" s="82">
        <v>23028</v>
      </c>
      <c r="E24" s="82">
        <v>36517</v>
      </c>
      <c r="F24" s="82">
        <v>50870</v>
      </c>
      <c r="G24" s="82">
        <v>66899</v>
      </c>
      <c r="H24" s="82">
        <v>82309</v>
      </c>
      <c r="I24" s="82">
        <v>98948</v>
      </c>
      <c r="J24" s="82">
        <v>118371</v>
      </c>
      <c r="K24" s="82">
        <v>140517</v>
      </c>
      <c r="L24" s="82">
        <v>164625</v>
      </c>
      <c r="M24" s="82">
        <v>190873</v>
      </c>
      <c r="N24" s="82">
        <v>217623</v>
      </c>
    </row>
    <row r="25" spans="1:26" ht="19" customHeight="1" x14ac:dyDescent="0.35">
      <c r="C25" s="26"/>
      <c r="D25" s="26"/>
      <c r="E25" s="26"/>
      <c r="F25" s="26"/>
      <c r="G25" s="26"/>
      <c r="H25" s="26"/>
      <c r="I25" s="26"/>
      <c r="J25" s="26"/>
      <c r="K25" s="26"/>
      <c r="L25" s="26"/>
      <c r="M25" s="26"/>
      <c r="N25" s="26"/>
    </row>
    <row r="26" spans="1:26" ht="19" customHeight="1" x14ac:dyDescent="0.35">
      <c r="C26" s="26"/>
      <c r="D26" s="26"/>
      <c r="E26" s="26"/>
      <c r="F26" s="26"/>
      <c r="G26" s="26"/>
      <c r="H26" s="26"/>
      <c r="I26" s="26"/>
      <c r="J26" s="26"/>
      <c r="K26" s="26"/>
      <c r="L26" s="26"/>
      <c r="M26" s="26"/>
      <c r="N26" s="26"/>
    </row>
    <row r="27" spans="1:26" ht="27" customHeight="1" x14ac:dyDescent="0.35">
      <c r="B27" s="53" t="s">
        <v>239</v>
      </c>
      <c r="C27" s="61">
        <f>'Profit &amp; Loss'!B12/('Balance sheet'!B35-SUM('Balance sheet'!B12,'Balance sheet'!B10,'Balance sheet'!B8))</f>
        <v>0.30186892711409696</v>
      </c>
      <c r="D27" s="61">
        <f>'Profit &amp; Loss'!C12/('Balance sheet'!C35-SUM('Balance sheet'!C12,'Balance sheet'!C10,'Balance sheet'!C8))</f>
        <v>0.29415368803858011</v>
      </c>
      <c r="E27" s="61">
        <f>'Profit &amp; Loss'!D12/('Balance sheet'!D35-SUM('Balance sheet'!D12,'Balance sheet'!D10,'Balance sheet'!D8))</f>
        <v>0.27835001140845528</v>
      </c>
      <c r="F27" s="61">
        <f>'Profit &amp; Loss'!E12/('Balance sheet'!E35-SUM('Balance sheet'!E12,'Balance sheet'!E10,'Balance sheet'!E8))</f>
        <v>0.27113604896888438</v>
      </c>
      <c r="G27" s="61">
        <f>'Profit &amp; Loss'!F12/('Balance sheet'!F35-SUM('Balance sheet'!F12,'Balance sheet'!F10,'Balance sheet'!F8))</f>
        <v>0.29304519765215092</v>
      </c>
      <c r="H27" s="61">
        <f>'Profit &amp; Loss'!G12/('Balance sheet'!G35-SUM('Balance sheet'!G12,'Balance sheet'!G10,'Balance sheet'!G8))</f>
        <v>0.31867663090705134</v>
      </c>
      <c r="I27" s="61">
        <f>'Profit &amp; Loss'!H12/('Balance sheet'!H35-SUM('Balance sheet'!H12,'Balance sheet'!H10,'Balance sheet'!H8))</f>
        <v>0.35571424007156777</v>
      </c>
      <c r="J27" s="61">
        <f>'Profit &amp; Loss'!I12/('Balance sheet'!I35-SUM('Balance sheet'!I12,'Balance sheet'!I10,'Balance sheet'!I8))</f>
        <v>0.37838167856076843</v>
      </c>
      <c r="K27" s="61">
        <f>'Profit &amp; Loss'!J12/('Balance sheet'!J35-SUM('Balance sheet'!J12,'Balance sheet'!J10,'Balance sheet'!J8))</f>
        <v>0.4421899573129634</v>
      </c>
      <c r="L27" s="61">
        <f>'Profit &amp; Loss'!K12/('Balance sheet'!K35-SUM('Balance sheet'!K12,'Balance sheet'!K10,'Balance sheet'!K8))</f>
        <v>0.491040228117749</v>
      </c>
      <c r="M27" s="61">
        <f>'Profit &amp; Loss'!L12/('Balance sheet'!L35-SUM('Balance sheet'!L12,'Balance sheet'!L10,'Balance sheet'!L8))</f>
        <v>0.43280655893536124</v>
      </c>
      <c r="N27" s="61">
        <f>'Profit &amp; Loss'!M12/('Balance sheet'!M35-SUM('Balance sheet'!M12,'Balance sheet'!M10,'Balance sheet'!M8))</f>
        <v>0.42808824492111636</v>
      </c>
    </row>
    <row r="28" spans="1:26" ht="19" customHeight="1" x14ac:dyDescent="0.35">
      <c r="B28" s="53" t="s">
        <v>240</v>
      </c>
      <c r="C28" s="61">
        <f>'Profit &amp; Loss'!B21/SUM('Balance sheet'!B6:B7)</f>
        <v>0.23929934875364922</v>
      </c>
      <c r="D28" s="61">
        <f>'Profit &amp; Loss'!C21/SUM('Balance sheet'!C6:C7)</f>
        <v>0.24385052034058657</v>
      </c>
      <c r="E28" s="61">
        <f>'Profit &amp; Loss'!D21/SUM('Balance sheet'!D6:D7)</f>
        <v>0.2184665716506867</v>
      </c>
      <c r="F28" s="61">
        <f>'Profit &amp; Loss'!E21/SUM('Balance sheet'!E6:E7)</f>
        <v>0.20806877156359629</v>
      </c>
      <c r="G28" s="61">
        <f>'Profit &amp; Loss'!F21/SUM('Balance sheet'!F6:F7)</f>
        <v>0.24689247262141306</v>
      </c>
      <c r="H28" s="61">
        <f>'Profit &amp; Loss'!G21/SUM('Balance sheet'!G6:G7)</f>
        <v>0.23726673646609595</v>
      </c>
      <c r="I28" s="61">
        <f>'Profit &amp; Loss'!H21/SUM('Balance sheet'!H6:H7)</f>
        <v>0.25422459893048127</v>
      </c>
      <c r="J28" s="61">
        <f>'Profit &amp; Loss'!I21/SUM('Balance sheet'!I6:I7)</f>
        <v>0.2543909051616875</v>
      </c>
      <c r="K28" s="61">
        <f>'Profit &amp; Loss'!J21/SUM('Balance sheet'!J6:J7)</f>
        <v>0.29390842733908429</v>
      </c>
      <c r="L28" s="61">
        <f>'Profit &amp; Loss'!K21/SUM('Balance sheet'!K6:K7)</f>
        <v>0.31970506716883046</v>
      </c>
      <c r="M28" s="61">
        <f>'Profit &amp; Loss'!L21/SUM('Balance sheet'!L6:L7)</f>
        <v>0.29788006718416632</v>
      </c>
      <c r="N28" s="61">
        <f>'Profit &amp; Loss'!M21/SUM('Balance sheet'!M6:M7)</f>
        <v>0.27917510279905655</v>
      </c>
    </row>
    <row r="29" spans="1:26" ht="19" customHeight="1" x14ac:dyDescent="0.35">
      <c r="C29" s="17"/>
    </row>
    <row r="30" spans="1:26" ht="23.5" customHeight="1" x14ac:dyDescent="0.35">
      <c r="B30" s="83" t="s">
        <v>242</v>
      </c>
      <c r="I30" s="137" t="s">
        <v>241</v>
      </c>
      <c r="J30" s="137"/>
      <c r="K30" s="137"/>
      <c r="L30" s="137"/>
      <c r="M30" s="137"/>
      <c r="N30" s="137"/>
    </row>
    <row r="31" spans="1:26" ht="18" customHeight="1" x14ac:dyDescent="0.35"/>
  </sheetData>
  <mergeCells count="4">
    <mergeCell ref="P19:V19"/>
    <mergeCell ref="C13:N13"/>
    <mergeCell ref="A1:N2"/>
    <mergeCell ref="I30:N30"/>
  </mergeCells>
  <pageMargins left="0.25" right="0.25" top="0.4" bottom="0.4" header="0.15" footer="0.15"/>
  <pageSetup scale="35" fitToHeight="0" orientation="landscape" r:id="rId1"/>
  <headerFooter>
    <oddFooter>&amp;C&amp;"Aptos"&amp;8 Infosys Ltd Financial Analysis | FY2014–FY2025&amp;RPage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7"/>
  <sheetViews>
    <sheetView showGridLines="0" zoomScale="43" zoomScaleNormal="53" workbookViewId="0">
      <selection activeCell="J18" sqref="J18"/>
    </sheetView>
  </sheetViews>
  <sheetFormatPr defaultRowHeight="14.5" x14ac:dyDescent="0.35"/>
  <cols>
    <col min="1" max="24" width="12" customWidth="1"/>
  </cols>
  <sheetData>
    <row r="1" spans="1:24" ht="24" customHeight="1" x14ac:dyDescent="0.55000000000000004">
      <c r="A1" s="142" t="s">
        <v>243</v>
      </c>
      <c r="B1" s="112"/>
      <c r="C1" s="112"/>
      <c r="D1" s="112"/>
      <c r="E1" s="112"/>
      <c r="F1" s="112"/>
      <c r="G1" s="112"/>
      <c r="H1" s="112"/>
      <c r="I1" s="112"/>
      <c r="J1" s="112"/>
      <c r="K1" s="112"/>
      <c r="L1" s="112"/>
      <c r="M1" s="112"/>
      <c r="N1" s="112"/>
      <c r="O1" s="112"/>
      <c r="P1" s="112"/>
      <c r="Q1" s="112"/>
      <c r="R1" s="112"/>
      <c r="S1" s="112"/>
      <c r="T1" s="112"/>
      <c r="U1" s="112"/>
      <c r="V1" s="112"/>
      <c r="W1" s="112"/>
      <c r="X1" s="112"/>
    </row>
    <row r="2" spans="1:24" ht="18" customHeight="1" x14ac:dyDescent="0.35">
      <c r="A2" s="140" t="s">
        <v>244</v>
      </c>
      <c r="B2" s="112"/>
      <c r="C2" s="112"/>
      <c r="D2" s="112"/>
      <c r="E2" s="112"/>
      <c r="F2" s="112"/>
      <c r="G2" s="112"/>
      <c r="H2" s="112"/>
      <c r="I2" s="112"/>
      <c r="J2" s="112"/>
      <c r="K2" s="112"/>
      <c r="L2" s="112"/>
      <c r="M2" s="112"/>
      <c r="N2" s="112"/>
      <c r="O2" s="112"/>
      <c r="P2" s="112"/>
      <c r="Q2" s="112"/>
      <c r="R2" s="112"/>
      <c r="S2" s="112"/>
      <c r="T2" s="112"/>
      <c r="U2" s="112"/>
      <c r="V2" s="112"/>
      <c r="W2" s="112"/>
      <c r="X2" s="112"/>
    </row>
    <row r="3" spans="1:24" ht="18" customHeight="1" x14ac:dyDescent="0.35">
      <c r="A3" s="145" t="s">
        <v>245</v>
      </c>
      <c r="B3" s="112"/>
      <c r="C3" s="112"/>
      <c r="D3" s="112"/>
      <c r="E3" s="112"/>
      <c r="F3" s="112"/>
      <c r="G3" s="112"/>
      <c r="H3" s="112"/>
      <c r="I3" s="112"/>
      <c r="J3" s="112"/>
      <c r="K3" s="112"/>
      <c r="L3" s="112"/>
      <c r="M3" s="112"/>
      <c r="N3" s="112"/>
      <c r="O3" s="112"/>
      <c r="P3" s="112"/>
      <c r="Q3" s="112"/>
      <c r="R3" s="112"/>
      <c r="S3" s="112"/>
      <c r="T3" s="112"/>
      <c r="U3" s="112"/>
      <c r="V3" s="112"/>
      <c r="W3" s="112"/>
      <c r="X3" s="112"/>
    </row>
    <row r="5" spans="1:24" ht="21" customHeight="1" x14ac:dyDescent="0.35">
      <c r="B5" s="141" t="s">
        <v>246</v>
      </c>
      <c r="C5" s="109"/>
      <c r="D5" s="109"/>
      <c r="F5" s="141" t="s">
        <v>234</v>
      </c>
      <c r="G5" s="109"/>
      <c r="H5" s="109"/>
      <c r="I5" s="30"/>
      <c r="J5" s="141" t="s">
        <v>247</v>
      </c>
      <c r="K5" s="109"/>
      <c r="L5" s="109"/>
      <c r="M5" s="30"/>
      <c r="N5" s="141" t="s">
        <v>248</v>
      </c>
      <c r="O5" s="109"/>
      <c r="P5" s="109"/>
      <c r="Q5" s="30"/>
      <c r="R5" s="141" t="s">
        <v>249</v>
      </c>
      <c r="S5" s="109"/>
      <c r="T5" s="109"/>
    </row>
    <row r="6" spans="1:24" x14ac:dyDescent="0.35">
      <c r="B6" s="147" t="s">
        <v>250</v>
      </c>
      <c r="C6" s="144"/>
      <c r="D6" s="144"/>
      <c r="F6" s="148" t="s">
        <v>251</v>
      </c>
      <c r="G6" s="144"/>
      <c r="H6" s="144"/>
      <c r="I6" s="30"/>
      <c r="J6" s="143">
        <v>0.28000000000000003</v>
      </c>
      <c r="K6" s="144"/>
      <c r="L6" s="144"/>
      <c r="M6" s="31"/>
      <c r="N6" s="143">
        <v>0.43</v>
      </c>
      <c r="O6" s="144"/>
      <c r="P6" s="144"/>
      <c r="Q6" s="31"/>
      <c r="R6" s="146">
        <v>7.9000000000000001E-2</v>
      </c>
      <c r="S6" s="144"/>
      <c r="T6" s="144"/>
    </row>
    <row r="7" spans="1:24" x14ac:dyDescent="0.35">
      <c r="B7" s="144"/>
      <c r="C7" s="144"/>
      <c r="D7" s="144"/>
      <c r="F7" s="144"/>
      <c r="G7" s="144"/>
      <c r="H7" s="144"/>
      <c r="I7" s="30"/>
      <c r="J7" s="144"/>
      <c r="K7" s="144"/>
      <c r="L7" s="144"/>
      <c r="M7" s="31"/>
      <c r="N7" s="144"/>
      <c r="O7" s="144"/>
      <c r="P7" s="144"/>
      <c r="Q7" s="31"/>
      <c r="R7" s="144"/>
      <c r="S7" s="144"/>
      <c r="T7" s="144"/>
    </row>
  </sheetData>
  <mergeCells count="13">
    <mergeCell ref="A2:X2"/>
    <mergeCell ref="R5:T5"/>
    <mergeCell ref="N5:P5"/>
    <mergeCell ref="A1:X1"/>
    <mergeCell ref="N6:P7"/>
    <mergeCell ref="J5:L5"/>
    <mergeCell ref="A3:X3"/>
    <mergeCell ref="R6:T7"/>
    <mergeCell ref="B5:D5"/>
    <mergeCell ref="B6:D7"/>
    <mergeCell ref="F5:H5"/>
    <mergeCell ref="F6:H7"/>
    <mergeCell ref="J6:L7"/>
  </mergeCells>
  <pageMargins left="0.2" right="0.2" top="0.25" bottom="0.25" header="0.1" footer="0.1"/>
  <pageSetup scale="45" orientation="landscape" r:id="rId1"/>
  <headerFooter>
    <oddFooter>&amp;C&amp;"Aptos"&amp;8 Infosys Ltd Financial Analysis | FY2014–FY2025&amp;RPage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29"/>
  <sheetViews>
    <sheetView showGridLines="0" zoomScale="53" zoomScaleNormal="53" workbookViewId="0">
      <selection activeCell="J18" sqref="J18"/>
    </sheetView>
  </sheetViews>
  <sheetFormatPr defaultRowHeight="18.5" x14ac:dyDescent="0.45"/>
  <cols>
    <col min="1" max="1" width="22.08984375" style="24" customWidth="1"/>
    <col min="2" max="2" width="79.7265625" style="24" customWidth="1"/>
    <col min="3" max="4" width="15.6328125" style="24" customWidth="1"/>
    <col min="5" max="15" width="15.6328125" customWidth="1"/>
    <col min="16" max="16" width="8.7265625" style="24" customWidth="1"/>
    <col min="17" max="16384" width="8.7265625" style="24"/>
  </cols>
  <sheetData>
    <row r="1" spans="1:15" ht="23.5" customHeight="1" x14ac:dyDescent="0.45">
      <c r="A1" s="149" t="s">
        <v>252</v>
      </c>
      <c r="B1" s="149"/>
      <c r="C1" s="149"/>
      <c r="D1" s="149"/>
    </row>
    <row r="2" spans="1:15" ht="18" customHeight="1" x14ac:dyDescent="0.45">
      <c r="A2" s="150" t="s">
        <v>253</v>
      </c>
      <c r="B2" s="150"/>
      <c r="C2" s="150"/>
      <c r="D2" s="150"/>
    </row>
    <row r="3" spans="1:15" ht="18" customHeight="1" x14ac:dyDescent="0.45">
      <c r="A3" s="150" t="s">
        <v>254</v>
      </c>
      <c r="B3" s="150"/>
      <c r="C3" s="150"/>
      <c r="D3" s="150"/>
    </row>
    <row r="4" spans="1:15" ht="18" customHeight="1" x14ac:dyDescent="0.45">
      <c r="A4" s="151" t="s">
        <v>255</v>
      </c>
      <c r="B4" s="151"/>
      <c r="C4" s="151"/>
      <c r="D4" s="151"/>
    </row>
    <row r="5" spans="1:15" ht="18" customHeight="1" x14ac:dyDescent="0.45">
      <c r="A5" s="152" t="s">
        <v>256</v>
      </c>
      <c r="B5" s="152"/>
      <c r="C5" s="152"/>
      <c r="D5" s="152"/>
    </row>
    <row r="6" spans="1:15" ht="18" customHeight="1" x14ac:dyDescent="0.45">
      <c r="A6" s="152" t="s">
        <v>257</v>
      </c>
      <c r="B6" s="152"/>
      <c r="C6" s="152"/>
      <c r="D6" s="152"/>
    </row>
    <row r="7" spans="1:15" ht="18" customHeight="1" x14ac:dyDescent="0.45">
      <c r="A7" s="25"/>
    </row>
    <row r="8" spans="1:15" ht="18" customHeight="1" x14ac:dyDescent="0.45">
      <c r="A8" s="25"/>
    </row>
    <row r="9" spans="1:15" ht="18" customHeight="1" x14ac:dyDescent="0.45"/>
    <row r="10" spans="1:15" ht="18" customHeight="1" x14ac:dyDescent="0.45"/>
    <row r="11" spans="1:15" ht="18" customHeight="1" x14ac:dyDescent="0.45"/>
    <row r="12" spans="1:15" ht="18" customHeight="1" x14ac:dyDescent="0.45"/>
    <row r="13" spans="1:15" ht="18" customHeight="1" x14ac:dyDescent="0.45">
      <c r="A13" s="62" t="s">
        <v>53</v>
      </c>
    </row>
    <row r="14" spans="1:15" ht="18" customHeight="1" x14ac:dyDescent="0.45"/>
    <row r="15" spans="1:15" ht="18" customHeight="1" thickBot="1" x14ac:dyDescent="0.5">
      <c r="A15" s="63" t="s">
        <v>214</v>
      </c>
      <c r="B15" s="63" t="s">
        <v>215</v>
      </c>
      <c r="C15" s="64">
        <f>'Ratios Cal &amp; Analysis'!C3</f>
        <v>41699</v>
      </c>
      <c r="D15" s="64">
        <f>'Ratios Cal &amp; Analysis'!D3</f>
        <v>42064</v>
      </c>
      <c r="E15" s="64">
        <f>'Ratios Cal &amp; Analysis'!E3</f>
        <v>42430</v>
      </c>
      <c r="F15" s="64">
        <f>'Ratios Cal &amp; Analysis'!F3</f>
        <v>42795</v>
      </c>
      <c r="G15" s="64">
        <f>'Ratios Cal &amp; Analysis'!G3</f>
        <v>43160</v>
      </c>
      <c r="H15" s="64">
        <f>'Ratios Cal &amp; Analysis'!H3</f>
        <v>43525</v>
      </c>
      <c r="I15" s="64">
        <f>'Ratios Cal &amp; Analysis'!I3</f>
        <v>43891</v>
      </c>
      <c r="J15" s="64">
        <f>'Ratios Cal &amp; Analysis'!J3</f>
        <v>44256</v>
      </c>
      <c r="K15" s="64">
        <f>'Ratios Cal &amp; Analysis'!K3</f>
        <v>44621</v>
      </c>
      <c r="L15" s="64">
        <f>'Ratios Cal &amp; Analysis'!L3</f>
        <v>44986</v>
      </c>
      <c r="M15" s="64">
        <f>'Ratios Cal &amp; Analysis'!M3</f>
        <v>45352</v>
      </c>
      <c r="N15" s="64">
        <f>'Ratios Cal &amp; Analysis'!N3</f>
        <v>45717</v>
      </c>
    </row>
    <row r="16" spans="1:15" ht="25" customHeight="1" x14ac:dyDescent="0.45">
      <c r="A16" s="65">
        <v>1</v>
      </c>
      <c r="B16" s="66" t="str">
        <f t="array" ref="B16:O16">'Ratios Cal &amp; Analysis'!B5:N5</f>
        <v>Sales Growth                                                       (CY sales/PY Sales-1)</v>
      </c>
      <c r="C16" s="67">
        <v>0</v>
      </c>
      <c r="D16" s="68">
        <v>6.3550954461133458E-2</v>
      </c>
      <c r="E16" s="68">
        <v>0.17108347868489648</v>
      </c>
      <c r="F16" s="68">
        <v>9.67793597155715E-2</v>
      </c>
      <c r="G16" s="68">
        <v>2.9758775772443125E-2</v>
      </c>
      <c r="H16" s="68">
        <v>0.17232920223476356</v>
      </c>
      <c r="I16" s="68">
        <v>9.8167523435137571E-2</v>
      </c>
      <c r="J16" s="68">
        <v>0.10662951173574475</v>
      </c>
      <c r="K16" s="68">
        <v>0.21069551715900947</v>
      </c>
      <c r="L16" s="68">
        <v>0.20655864387829759</v>
      </c>
      <c r="M16" s="68">
        <v>4.7033733741236095E-2</v>
      </c>
      <c r="N16" s="68">
        <v>6.0649443612936782E-2</v>
      </c>
      <c r="O16" s="68" t="e">
        <v>#N/A</v>
      </c>
    </row>
    <row r="17" spans="1:15" ht="29" customHeight="1" x14ac:dyDescent="0.45">
      <c r="A17" s="69">
        <v>2</v>
      </c>
      <c r="B17" s="70" t="str">
        <f t="array" ref="B17:O17">'Ratios Cal &amp; Analysis'!B6:N6</f>
        <v xml:space="preserve">Operating Performance Management </v>
      </c>
      <c r="C17" s="70">
        <v>0.27</v>
      </c>
      <c r="D17" s="54">
        <v>0.28000000000000003</v>
      </c>
      <c r="E17" s="54">
        <v>0.27</v>
      </c>
      <c r="F17" s="54">
        <v>0.27</v>
      </c>
      <c r="G17" s="54">
        <v>0.27</v>
      </c>
      <c r="H17" s="54">
        <v>0.24</v>
      </c>
      <c r="I17" s="54">
        <v>0.25</v>
      </c>
      <c r="J17" s="54">
        <v>0.28000000000000003</v>
      </c>
      <c r="K17" s="54">
        <v>0.26</v>
      </c>
      <c r="L17" s="54">
        <v>0.24</v>
      </c>
      <c r="M17" s="54">
        <v>0.24</v>
      </c>
      <c r="N17" s="54">
        <v>0.24</v>
      </c>
      <c r="O17" s="54" t="e">
        <v>#N/A</v>
      </c>
    </row>
    <row r="18" spans="1:15" ht="32.5" customHeight="1" x14ac:dyDescent="0.45">
      <c r="A18" s="65">
        <v>3</v>
      </c>
      <c r="B18" s="67" t="str">
        <f t="array" ref="B18:O18">'Ratios Cal &amp; Analysis'!B7:N7</f>
        <v>Net Profit Margin                                                               (NP/Sales)</v>
      </c>
      <c r="C18" s="67">
        <v>0.21255460475136137</v>
      </c>
      <c r="D18" s="68">
        <v>0.2320373600405109</v>
      </c>
      <c r="E18" s="68">
        <v>0.21602793036626575</v>
      </c>
      <c r="F18" s="68">
        <v>0.20958180012849717</v>
      </c>
      <c r="G18" s="68">
        <v>0.22729077451008195</v>
      </c>
      <c r="H18" s="68">
        <v>0.18639250075597219</v>
      </c>
      <c r="I18" s="68">
        <v>0.18326706391602693</v>
      </c>
      <c r="J18" s="68">
        <v>0.19331754120550998</v>
      </c>
      <c r="K18" s="68">
        <v>0.1820603250548746</v>
      </c>
      <c r="L18" s="68">
        <v>0.16426035825492105</v>
      </c>
      <c r="M18" s="68">
        <v>0.17080757467300059</v>
      </c>
      <c r="N18" s="68">
        <v>0.16412049819007302</v>
      </c>
      <c r="O18" s="68" t="e">
        <v>#N/A</v>
      </c>
    </row>
    <row r="19" spans="1:15" ht="18" customHeight="1" x14ac:dyDescent="0.45">
      <c r="A19" s="69">
        <v>4</v>
      </c>
      <c r="B19" s="70" t="str">
        <f t="array" ref="B19:O20">'Ratios Cal &amp; Analysis'!B27:N28</f>
        <v>Return on Capital Employed       Operating Profit(EBIT) / Total Assets - Current Liablities X 100</v>
      </c>
      <c r="C19" s="70">
        <v>0.30186892711409696</v>
      </c>
      <c r="D19" s="54">
        <v>0.29415368803858011</v>
      </c>
      <c r="E19" s="54">
        <v>0.27835001140845528</v>
      </c>
      <c r="F19" s="54">
        <v>0.27113604896888438</v>
      </c>
      <c r="G19" s="54">
        <v>0.29304519765215092</v>
      </c>
      <c r="H19" s="54">
        <v>0.31867663090705134</v>
      </c>
      <c r="I19" s="54">
        <v>0.35571424007156777</v>
      </c>
      <c r="J19" s="54">
        <v>0.37838167856076843</v>
      </c>
      <c r="K19" s="54">
        <v>0.4421899573129634</v>
      </c>
      <c r="L19" s="54">
        <v>0.491040228117749</v>
      </c>
      <c r="M19" s="54">
        <v>0.43280655893536124</v>
      </c>
      <c r="N19" s="54">
        <v>0.42808824492111636</v>
      </c>
      <c r="O19" s="54" t="e">
        <v>#N/A</v>
      </c>
    </row>
    <row r="20" spans="1:15" ht="18" customHeight="1" x14ac:dyDescent="0.45">
      <c r="A20" s="65">
        <v>5</v>
      </c>
      <c r="B20" s="67" t="str">
        <v>Return on Equity %</v>
      </c>
      <c r="C20" s="67">
        <v>0.23929934875364922</v>
      </c>
      <c r="D20" s="71">
        <v>0.24385052034058657</v>
      </c>
      <c r="E20" s="71">
        <v>0.2184665716506867</v>
      </c>
      <c r="F20" s="71">
        <v>0.20806877156359629</v>
      </c>
      <c r="G20" s="71">
        <v>0.24689247262141306</v>
      </c>
      <c r="H20" s="71">
        <v>0.23726673646609595</v>
      </c>
      <c r="I20" s="71">
        <v>0.25422459893048127</v>
      </c>
      <c r="J20" s="71">
        <v>0.2543909051616875</v>
      </c>
      <c r="K20" s="71">
        <v>0.29390842733908429</v>
      </c>
      <c r="L20" s="71">
        <v>0.31970506716883046</v>
      </c>
      <c r="M20" s="71">
        <v>0.29788006718416632</v>
      </c>
      <c r="N20" s="71">
        <v>0.27917510279905655</v>
      </c>
      <c r="O20" s="71" t="e">
        <v>#N/A</v>
      </c>
    </row>
    <row r="21" spans="1:15" ht="18" customHeight="1" x14ac:dyDescent="0.45"/>
    <row r="22" spans="1:15" ht="18" customHeight="1" x14ac:dyDescent="0.45"/>
    <row r="23" spans="1:15" ht="18" customHeight="1" x14ac:dyDescent="0.45"/>
    <row r="28" spans="1:15" ht="21" x14ac:dyDescent="0.5">
      <c r="B28" s="84"/>
    </row>
    <row r="29" spans="1:15" x14ac:dyDescent="0.45">
      <c r="B29" s="85"/>
    </row>
  </sheetData>
  <mergeCells count="6">
    <mergeCell ref="A1:D1"/>
    <mergeCell ref="A2:D2"/>
    <mergeCell ref="A4:D4"/>
    <mergeCell ref="A5:D5"/>
    <mergeCell ref="A6:D6"/>
    <mergeCell ref="A3:D3"/>
  </mergeCells>
  <pageMargins left="0.25" right="0.25" top="0.4" bottom="0.4" header="0.15" footer="0.15"/>
  <pageSetup scale="46" fitToHeight="0" orientation="landscape" r:id="rId1"/>
  <headerFooter>
    <oddFooter>&amp;C&amp;"Aptos"&amp;8 Infosys Ltd Financial Analysis | FY2014–FY2025&amp;RPage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6"/>
  <sheetViews>
    <sheetView showGridLines="0" zoomScale="63" zoomScaleNormal="53" workbookViewId="0">
      <selection activeCell="J18" sqref="J18"/>
    </sheetView>
  </sheetViews>
  <sheetFormatPr defaultRowHeight="14.5" x14ac:dyDescent="0.35"/>
  <cols>
    <col min="1" max="1" width="28" bestFit="1" customWidth="1"/>
    <col min="2" max="2" width="28" customWidth="1"/>
    <col min="3" max="14" width="15.6328125" customWidth="1"/>
  </cols>
  <sheetData>
    <row r="1" spans="1:14" ht="21" customHeight="1" x14ac:dyDescent="0.35">
      <c r="A1" s="153" t="s">
        <v>252</v>
      </c>
      <c r="B1" s="153"/>
      <c r="C1" s="153"/>
      <c r="D1" s="97"/>
    </row>
    <row r="2" spans="1:14" ht="18" customHeight="1" x14ac:dyDescent="0.35">
      <c r="A2" s="156" t="s">
        <v>253</v>
      </c>
      <c r="B2" s="156"/>
      <c r="C2" s="156"/>
      <c r="D2" s="98"/>
    </row>
    <row r="3" spans="1:14" ht="18" customHeight="1" x14ac:dyDescent="0.35">
      <c r="A3" s="156" t="s">
        <v>254</v>
      </c>
      <c r="B3" s="156"/>
      <c r="C3" s="156"/>
      <c r="D3" s="98"/>
    </row>
    <row r="4" spans="1:14" ht="18" customHeight="1" x14ac:dyDescent="0.35">
      <c r="A4" s="157" t="s">
        <v>255</v>
      </c>
      <c r="B4" s="157"/>
      <c r="C4" s="157"/>
      <c r="D4" s="98"/>
    </row>
    <row r="5" spans="1:14" ht="31" customHeight="1" x14ac:dyDescent="0.35">
      <c r="A5" s="158" t="s">
        <v>256</v>
      </c>
      <c r="B5" s="158"/>
      <c r="C5" s="158"/>
      <c r="D5" s="158"/>
    </row>
    <row r="6" spans="1:14" ht="34.5" customHeight="1" x14ac:dyDescent="0.35">
      <c r="A6" s="158" t="s">
        <v>257</v>
      </c>
      <c r="B6" s="158"/>
      <c r="C6" s="158"/>
      <c r="D6" s="98"/>
    </row>
    <row r="7" spans="1:14" ht="18" customHeight="1" x14ac:dyDescent="0.35"/>
    <row r="8" spans="1:14" ht="18" customHeight="1" x14ac:dyDescent="0.35"/>
    <row r="9" spans="1:14" ht="25" customHeight="1" x14ac:dyDescent="0.35">
      <c r="A9" s="154" t="s">
        <v>78</v>
      </c>
      <c r="B9" s="109"/>
      <c r="C9" s="109"/>
      <c r="D9" s="109"/>
      <c r="E9" s="109"/>
      <c r="F9" s="109"/>
      <c r="G9" s="109"/>
      <c r="H9" s="109"/>
      <c r="I9" s="109"/>
      <c r="J9" s="109"/>
      <c r="K9" s="109"/>
      <c r="L9" s="109"/>
      <c r="M9" s="109"/>
      <c r="N9" s="109"/>
    </row>
    <row r="10" spans="1:14" ht="18" customHeight="1" x14ac:dyDescent="0.35"/>
    <row r="11" spans="1:14" ht="20" customHeight="1" thickBot="1" x14ac:dyDescent="0.4">
      <c r="A11" s="86" t="s">
        <v>214</v>
      </c>
      <c r="B11" s="86" t="s">
        <v>215</v>
      </c>
      <c r="C11" s="87">
        <f>'Ratios Cal &amp; Analysis'!C3</f>
        <v>41699</v>
      </c>
      <c r="D11" s="87">
        <f>'Ratios Cal &amp; Analysis'!D3</f>
        <v>42064</v>
      </c>
      <c r="E11" s="87">
        <f>'Ratios Cal &amp; Analysis'!E3</f>
        <v>42430</v>
      </c>
      <c r="F11" s="87">
        <f>'Ratios Cal &amp; Analysis'!F3</f>
        <v>42795</v>
      </c>
      <c r="G11" s="87">
        <f>'Ratios Cal &amp; Analysis'!G3</f>
        <v>43160</v>
      </c>
      <c r="H11" s="87">
        <f>'Ratios Cal &amp; Analysis'!H3</f>
        <v>43525</v>
      </c>
      <c r="I11" s="87">
        <f>'Ratios Cal &amp; Analysis'!I3</f>
        <v>43891</v>
      </c>
      <c r="J11" s="87">
        <f>'Ratios Cal &amp; Analysis'!J3</f>
        <v>44256</v>
      </c>
      <c r="K11" s="87">
        <f>'Ratios Cal &amp; Analysis'!K3</f>
        <v>44621</v>
      </c>
      <c r="L11" s="87">
        <f>'Ratios Cal &amp; Analysis'!L3</f>
        <v>44986</v>
      </c>
      <c r="M11" s="87">
        <f>'Ratios Cal &amp; Analysis'!M3</f>
        <v>45352</v>
      </c>
      <c r="N11" s="87">
        <f>'Ratios Cal &amp; Analysis'!N3</f>
        <v>45717</v>
      </c>
    </row>
    <row r="12" spans="1:14" ht="20" customHeight="1" x14ac:dyDescent="0.35">
      <c r="A12" s="88">
        <v>1</v>
      </c>
      <c r="B12" s="89" t="s">
        <v>258</v>
      </c>
      <c r="C12" s="90">
        <f>'Ratios Cal &amp; Analysis'!C12</f>
        <v>68.893296266160377</v>
      </c>
      <c r="D12" s="90">
        <f>'Ratios Cal &amp; Analysis'!D12</f>
        <v>65.718044813013307</v>
      </c>
      <c r="E12" s="90">
        <f>'Ratios Cal &amp; Analysis'!E12</f>
        <v>63.372070957095708</v>
      </c>
      <c r="F12" s="90">
        <f>'Ratios Cal &amp; Analysis'!F12</f>
        <v>63.629381762434036</v>
      </c>
      <c r="G12" s="90">
        <f>'Ratios Cal &amp; Analysis'!G12</f>
        <v>72.799874676901382</v>
      </c>
      <c r="H12" s="90">
        <f>'Ratios Cal &amp; Analysis'!H12</f>
        <v>81.307822804167074</v>
      </c>
      <c r="I12" s="90">
        <f>'Ratios Cal &amp; Analysis'!I12</f>
        <v>96.005005684689237</v>
      </c>
      <c r="J12" s="90">
        <f>'Ratios Cal &amp; Analysis'!J12</f>
        <v>92.891164939981394</v>
      </c>
      <c r="K12" s="90">
        <f>'Ratios Cal &amp; Analysis'!K12</f>
        <v>104.61884999726971</v>
      </c>
      <c r="L12" s="90">
        <f>'Ratios Cal &amp; Analysis'!L12</f>
        <v>119.75053860208895</v>
      </c>
      <c r="M12" s="90">
        <f>'Ratios Cal &amp; Analysis'!M12</f>
        <v>117.96272299378234</v>
      </c>
      <c r="N12" s="90">
        <f>'Ratios Cal &amp; Analysis'!N12</f>
        <v>119.43631660355219</v>
      </c>
    </row>
    <row r="13" spans="1:14" ht="20" customHeight="1" x14ac:dyDescent="0.35">
      <c r="A13" s="91">
        <v>2</v>
      </c>
      <c r="B13" s="92" t="s">
        <v>259</v>
      </c>
      <c r="C13" s="93">
        <f>'Ratios Cal &amp; Analysis'!C14</f>
        <v>1.718558637019296</v>
      </c>
      <c r="D13" s="93">
        <f>'Ratios Cal &amp; Analysis'!D14</f>
        <v>1.4861718180872101</v>
      </c>
      <c r="E13" s="93">
        <f>'Ratios Cal &amp; Analysis'!E14</f>
        <v>2.1161985803095105</v>
      </c>
      <c r="F13" s="93">
        <f>'Ratios Cal &amp; Analysis'!F14</f>
        <v>2.755062149157979</v>
      </c>
      <c r="G13" s="93">
        <f>'Ratios Cal &amp; Analysis'!G14</f>
        <v>3.7453094777562863</v>
      </c>
      <c r="H13" s="93">
        <f>'Ratios Cal &amp; Analysis'!H14</f>
        <v>6.8585313174946005</v>
      </c>
      <c r="I13" s="93">
        <f>'Ratios Cal &amp; Analysis'!I14</f>
        <v>12.003495125795341</v>
      </c>
      <c r="J13" s="93">
        <f>'Ratios Cal &amp; Analysis'!J14</f>
        <v>13.821452681757435</v>
      </c>
      <c r="K13" s="93">
        <f>'Ratios Cal &amp; Analysis'!K14</f>
        <v>13.723433166943982</v>
      </c>
      <c r="L13" s="93">
        <f>'Ratios Cal &amp; Analysis'!L14</f>
        <v>13.076466583659538</v>
      </c>
      <c r="M13" s="93">
        <f>'Ratios Cal &amp; Analysis'!M14</f>
        <v>12.173930658023796</v>
      </c>
      <c r="N13" s="93">
        <f>'Ratios Cal &amp; Analysis'!N14</f>
        <v>11.97456243838583</v>
      </c>
    </row>
    <row r="14" spans="1:14" ht="20" customHeight="1" x14ac:dyDescent="0.35">
      <c r="A14" s="88">
        <v>3</v>
      </c>
      <c r="B14" s="94" t="s">
        <v>260</v>
      </c>
      <c r="C14" s="155" t="s">
        <v>228</v>
      </c>
      <c r="D14" s="155"/>
      <c r="E14" s="155"/>
      <c r="F14" s="155"/>
      <c r="G14" s="155"/>
      <c r="H14" s="155"/>
      <c r="I14" s="155"/>
      <c r="J14" s="155"/>
      <c r="K14" s="155"/>
      <c r="L14" s="155"/>
      <c r="M14" s="155"/>
      <c r="N14" s="155"/>
    </row>
    <row r="15" spans="1:14" ht="31" customHeight="1" x14ac:dyDescent="0.35">
      <c r="A15" s="91">
        <v>4</v>
      </c>
      <c r="B15" s="95" t="s">
        <v>261</v>
      </c>
      <c r="C15" s="96">
        <f>'Ratios Cal &amp; Analysis'!C10</f>
        <v>5.9838863690618284E-2</v>
      </c>
      <c r="D15" s="96">
        <f>'Ratios Cal &amp; Analysis'!D10</f>
        <v>4.6993654151242729E-2</v>
      </c>
      <c r="E15" s="96">
        <f>'Ratios Cal &amp; Analysis'!E10</f>
        <v>4.6646496339459137E-2</v>
      </c>
      <c r="F15" s="96">
        <f>'Ratios Cal &amp; Analysis'!F10</f>
        <v>4.8299597997037876E-2</v>
      </c>
      <c r="G15" s="96">
        <f>'Ratios Cal &amp; Analysis'!G10</f>
        <v>5.6085573405439799E-2</v>
      </c>
      <c r="H15" s="96">
        <f>'Ratios Cal &amp; Analysis'!H10</f>
        <v>5.2625716104392109E-2</v>
      </c>
      <c r="I15" s="96">
        <f>'Ratios Cal &amp; Analysis'!I10</f>
        <v>3.8165118332002188E-2</v>
      </c>
      <c r="J15" s="96">
        <f>'Ratios Cal &amp; Analysis'!J10</f>
        <v>3.9393060184277594E-2</v>
      </c>
      <c r="K15" s="96">
        <f>'Ratios Cal &amp; Analysis'!K10</f>
        <v>4.7147674418604651E-2</v>
      </c>
      <c r="L15" s="96">
        <f>'Ratios Cal &amp; Analysis'!L10</f>
        <v>5.0219674935842597E-2</v>
      </c>
      <c r="M15" s="96">
        <f>'Ratios Cal &amp; Analysis'!M10</f>
        <v>5.5633190934762142E-2</v>
      </c>
      <c r="N15" s="96">
        <f>'Ratios Cal &amp; Analysis'!N10</f>
        <v>5.2643648460967023E-2</v>
      </c>
    </row>
    <row r="16" spans="1:14" ht="18" customHeight="1" x14ac:dyDescent="0.35">
      <c r="A16" s="5"/>
    </row>
  </sheetData>
  <mergeCells count="8">
    <mergeCell ref="A1:C1"/>
    <mergeCell ref="A9:N9"/>
    <mergeCell ref="C14:N14"/>
    <mergeCell ref="A2:C2"/>
    <mergeCell ref="A3:C3"/>
    <mergeCell ref="A4:C4"/>
    <mergeCell ref="A6:C6"/>
    <mergeCell ref="A5:D5"/>
  </mergeCells>
  <pageMargins left="0.25" right="0.25" top="0.4" bottom="0.4" header="0.15" footer="0.15"/>
  <pageSetup scale="54" fitToHeight="0" orientation="landscape" r:id="rId1"/>
  <headerFooter>
    <oddFooter>&amp;C&amp;"Aptos"&amp;8 Infosys Ltd Financial Analysis | FY2014–FY2025&amp;RPage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3"/>
  <sheetViews>
    <sheetView showGridLines="0" zoomScale="88" zoomScaleNormal="53" workbookViewId="0">
      <selection activeCell="J18" sqref="J18"/>
    </sheetView>
  </sheetViews>
  <sheetFormatPr defaultRowHeight="18.5" x14ac:dyDescent="0.45"/>
  <cols>
    <col min="1" max="1" width="28" style="24" bestFit="1" customWidth="1"/>
    <col min="2" max="2" width="21" style="24" customWidth="1"/>
    <col min="3" max="10" width="15.6328125" style="24" customWidth="1"/>
    <col min="11" max="11" width="15.6328125" customWidth="1"/>
    <col min="12" max="14" width="15.6328125" style="24" customWidth="1"/>
    <col min="15" max="15" width="8.7265625" style="24" customWidth="1"/>
    <col min="16" max="16384" width="8.7265625" style="24"/>
  </cols>
  <sheetData>
    <row r="1" spans="1:14" ht="23.5" customHeight="1" x14ac:dyDescent="0.45">
      <c r="A1" s="160" t="s">
        <v>252</v>
      </c>
      <c r="B1" s="160"/>
      <c r="C1" s="160"/>
      <c r="D1" s="160"/>
      <c r="E1" s="160"/>
      <c r="F1" s="160"/>
    </row>
    <row r="2" spans="1:14" ht="18" customHeight="1" x14ac:dyDescent="0.45">
      <c r="A2" s="161" t="s">
        <v>253</v>
      </c>
      <c r="B2" s="161"/>
      <c r="C2" s="161"/>
      <c r="D2" s="161"/>
      <c r="E2" s="161"/>
      <c r="F2" s="161"/>
    </row>
    <row r="3" spans="1:14" ht="18" customHeight="1" x14ac:dyDescent="0.45">
      <c r="A3" s="162" t="s">
        <v>254</v>
      </c>
      <c r="B3" s="162"/>
      <c r="C3" s="162"/>
      <c r="D3" s="162"/>
      <c r="E3" s="162"/>
      <c r="F3" s="162"/>
    </row>
    <row r="4" spans="1:14" ht="18" customHeight="1" x14ac:dyDescent="0.45">
      <c r="A4" s="163" t="s">
        <v>255</v>
      </c>
      <c r="B4" s="163"/>
      <c r="C4" s="163"/>
      <c r="D4" s="163"/>
      <c r="E4" s="163"/>
      <c r="F4" s="163"/>
    </row>
    <row r="5" spans="1:14" ht="18" customHeight="1" x14ac:dyDescent="0.45">
      <c r="A5" s="164" t="s">
        <v>256</v>
      </c>
      <c r="B5" s="164"/>
      <c r="C5" s="164"/>
      <c r="D5" s="164"/>
      <c r="E5" s="164"/>
      <c r="F5" s="164"/>
    </row>
    <row r="6" spans="1:14" ht="18" customHeight="1" x14ac:dyDescent="0.45">
      <c r="A6" s="164" t="s">
        <v>257</v>
      </c>
      <c r="B6" s="164"/>
      <c r="C6" s="164"/>
      <c r="D6" s="164"/>
      <c r="E6" s="164"/>
      <c r="F6" s="164"/>
    </row>
    <row r="7" spans="1:14" ht="18" customHeight="1" x14ac:dyDescent="0.45"/>
    <row r="8" spans="1:14" ht="18" customHeight="1" x14ac:dyDescent="0.45"/>
    <row r="9" spans="1:14" ht="25" customHeight="1" x14ac:dyDescent="0.45">
      <c r="A9" s="154" t="s">
        <v>57</v>
      </c>
      <c r="B9" s="159"/>
      <c r="C9" s="159"/>
      <c r="D9" s="159"/>
      <c r="E9" s="159"/>
      <c r="F9" s="159"/>
      <c r="G9" s="159"/>
      <c r="H9" s="159"/>
      <c r="I9" s="159"/>
      <c r="J9" s="159"/>
      <c r="K9" s="109"/>
      <c r="L9" s="159"/>
      <c r="M9" s="159"/>
      <c r="N9" s="159"/>
    </row>
    <row r="10" spans="1:14" ht="18" customHeight="1" x14ac:dyDescent="0.45"/>
    <row r="11" spans="1:14" ht="18" customHeight="1" thickBot="1" x14ac:dyDescent="0.5">
      <c r="A11" s="63" t="s">
        <v>214</v>
      </c>
      <c r="B11" s="63" t="s">
        <v>215</v>
      </c>
      <c r="C11" s="64">
        <f>'Ratios Cal &amp; Analysis'!C3</f>
        <v>41699</v>
      </c>
      <c r="D11" s="64">
        <f>'Ratios Cal &amp; Analysis'!D3</f>
        <v>42064</v>
      </c>
      <c r="E11" s="64">
        <f>'Ratios Cal &amp; Analysis'!E3</f>
        <v>42430</v>
      </c>
      <c r="F11" s="64">
        <f>'Ratios Cal &amp; Analysis'!F3</f>
        <v>42795</v>
      </c>
      <c r="G11" s="64">
        <f>'Ratios Cal &amp; Analysis'!G3</f>
        <v>43160</v>
      </c>
      <c r="H11" s="64">
        <f>'Ratios Cal &amp; Analysis'!H3</f>
        <v>43525</v>
      </c>
      <c r="I11" s="64">
        <f>'Ratios Cal &amp; Analysis'!I3</f>
        <v>43891</v>
      </c>
      <c r="J11" s="64">
        <f>'Ratios Cal &amp; Analysis'!J3</f>
        <v>44256</v>
      </c>
      <c r="K11" s="64">
        <f>'Ratios Cal &amp; Analysis'!K3</f>
        <v>44621</v>
      </c>
      <c r="L11" s="64">
        <f>'Ratios Cal &amp; Analysis'!L3</f>
        <v>44986</v>
      </c>
      <c r="M11" s="64">
        <f>'Ratios Cal &amp; Analysis'!M3</f>
        <v>45352</v>
      </c>
      <c r="N11" s="64">
        <f>'Ratios Cal &amp; Analysis'!N3</f>
        <v>45717</v>
      </c>
    </row>
    <row r="12" spans="1:14" ht="18" customHeight="1" x14ac:dyDescent="0.45">
      <c r="A12" s="69">
        <v>1</v>
      </c>
      <c r="B12" s="53" t="s">
        <v>262</v>
      </c>
      <c r="C12" s="55">
        <f>'Ratios Cal &amp; Analysis'!C11</f>
        <v>55386</v>
      </c>
      <c r="D12" s="55">
        <f>'Ratios Cal &amp; Analysis'!D11</f>
        <v>67170</v>
      </c>
      <c r="E12" s="55">
        <f>'Ratios Cal &amp; Analysis'!E11</f>
        <v>71442</v>
      </c>
      <c r="F12" s="55">
        <f>'Ratios Cal &amp; Analysis'!F11</f>
        <v>64613</v>
      </c>
      <c r="G12" s="55">
        <f>'Ratios Cal &amp; Analysis'!G11</f>
        <v>66043</v>
      </c>
      <c r="H12" s="55">
        <f>'Ratios Cal &amp; Analysis'!H11</f>
        <v>71457</v>
      </c>
      <c r="I12" s="55">
        <f>'Ratios Cal &amp; Analysis'!I11</f>
        <v>73884</v>
      </c>
      <c r="J12" s="55">
        <f>'Ratios Cal &amp; Analysis'!J11</f>
        <v>86993</v>
      </c>
      <c r="K12" s="55">
        <f>'Ratios Cal &amp; Analysis'!K11</f>
        <v>97440</v>
      </c>
      <c r="L12" s="55">
        <f>'Ratios Cal &amp; Analysis'!L11</f>
        <v>108377</v>
      </c>
      <c r="M12" s="55">
        <f>'Ratios Cal &amp; Analysis'!M11</f>
        <v>117450</v>
      </c>
      <c r="N12" s="73">
        <f>'Ratios Cal &amp; Analysis'!N11</f>
        <v>49114</v>
      </c>
    </row>
    <row r="13" spans="1:14" ht="18" customHeight="1" x14ac:dyDescent="0.45">
      <c r="A13" s="65">
        <v>2</v>
      </c>
      <c r="B13" s="66" t="s">
        <v>249</v>
      </c>
      <c r="C13" s="72">
        <f>'Ratios Cal &amp; Analysis'!C15</f>
        <v>0</v>
      </c>
      <c r="D13" s="72">
        <f>'Ratios Cal &amp; Analysis'!D15</f>
        <v>0</v>
      </c>
      <c r="E13" s="72">
        <f>'Ratios Cal &amp; Analysis'!E15</f>
        <v>0</v>
      </c>
      <c r="F13" s="72">
        <f>'Ratios Cal &amp; Analysis'!F15</f>
        <v>0</v>
      </c>
      <c r="G13" s="72">
        <f>'Ratios Cal &amp; Analysis'!G15</f>
        <v>0</v>
      </c>
      <c r="H13" s="72">
        <f>'Ratios Cal &amp; Analysis'!H15</f>
        <v>0</v>
      </c>
      <c r="I13" s="72">
        <f>'Ratios Cal &amp; Analysis'!I15</f>
        <v>6.610732988028481E-2</v>
      </c>
      <c r="J13" s="72">
        <f>'Ratios Cal &amp; Analysis'!J15</f>
        <v>6.5196630589157159E-2</v>
      </c>
      <c r="K13" s="72">
        <f>'Ratios Cal &amp; Analysis'!K15</f>
        <v>6.7727407700682959E-2</v>
      </c>
      <c r="L13" s="72">
        <f>'Ratios Cal &amp; Analysis'!L15</f>
        <v>9.9144625235944861E-2</v>
      </c>
      <c r="M13" s="72">
        <f>'Ratios Cal &amp; Analysis'!M15</f>
        <v>8.6644208344130599E-2</v>
      </c>
      <c r="N13" s="72">
        <f>'Ratios Cal &amp; Analysis'!N15</f>
        <v>7.9071555576913838E-2</v>
      </c>
    </row>
  </sheetData>
  <mergeCells count="7">
    <mergeCell ref="A9:N9"/>
    <mergeCell ref="A1:F1"/>
    <mergeCell ref="A2:F2"/>
    <mergeCell ref="A3:F3"/>
    <mergeCell ref="A4:F4"/>
    <mergeCell ref="A5:F5"/>
    <mergeCell ref="A6:F6"/>
  </mergeCells>
  <pageMargins left="0.25" right="0.25" top="0.4" bottom="0.4" header="0.15" footer="0.15"/>
  <pageSetup scale="56" fitToHeight="0" orientation="landscape" r:id="rId1"/>
  <headerFooter>
    <oddFooter>&amp;C&amp;"Aptos"&amp;8 Infosys Ltd Financial Analysis | FY2014–FY2025&amp;RPage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8"/>
  <sheetViews>
    <sheetView showGridLines="0" zoomScale="50" zoomScaleNormal="53" workbookViewId="0">
      <selection activeCell="X39" sqref="X39"/>
    </sheetView>
  </sheetViews>
  <sheetFormatPr defaultRowHeight="14.5" x14ac:dyDescent="0.35"/>
  <cols>
    <col min="1" max="1" width="28" customWidth="1"/>
    <col min="2" max="9" width="10" customWidth="1"/>
  </cols>
  <sheetData>
    <row r="1" spans="1:11" ht="18" customHeight="1" x14ac:dyDescent="0.35"/>
    <row r="2" spans="1:11" ht="28" customHeight="1" x14ac:dyDescent="0.35">
      <c r="A2" s="166" t="s">
        <v>252</v>
      </c>
      <c r="B2" s="166"/>
      <c r="C2" s="166"/>
      <c r="D2" s="166"/>
      <c r="E2" s="166"/>
      <c r="F2" s="166"/>
      <c r="G2" s="166"/>
      <c r="H2" s="166"/>
      <c r="I2" s="166"/>
      <c r="J2" s="166"/>
      <c r="K2" s="166"/>
    </row>
    <row r="3" spans="1:11" ht="18.5" customHeight="1" x14ac:dyDescent="0.35">
      <c r="A3" s="167" t="s">
        <v>253</v>
      </c>
      <c r="B3" s="167"/>
      <c r="C3" s="167"/>
      <c r="D3" s="167"/>
      <c r="E3" s="167"/>
      <c r="F3" s="167"/>
      <c r="G3" s="167"/>
      <c r="H3" s="167"/>
      <c r="I3" s="167"/>
      <c r="J3" s="167"/>
      <c r="K3" s="167"/>
    </row>
    <row r="4" spans="1:11" ht="18.5" customHeight="1" x14ac:dyDescent="0.35">
      <c r="A4" s="167" t="s">
        <v>254</v>
      </c>
      <c r="B4" s="167"/>
      <c r="C4" s="167"/>
      <c r="D4" s="167"/>
      <c r="E4" s="167"/>
      <c r="F4" s="167"/>
      <c r="G4" s="167"/>
      <c r="H4" s="167"/>
      <c r="I4" s="167"/>
      <c r="J4" s="167"/>
      <c r="K4" s="167"/>
    </row>
    <row r="5" spans="1:11" ht="18.5" customHeight="1" x14ac:dyDescent="0.35">
      <c r="A5" s="167" t="s">
        <v>255</v>
      </c>
      <c r="B5" s="167"/>
      <c r="C5" s="167"/>
      <c r="D5" s="167"/>
      <c r="E5" s="167"/>
      <c r="F5" s="167"/>
      <c r="G5" s="167"/>
      <c r="H5" s="167"/>
      <c r="I5" s="167"/>
      <c r="J5" s="167"/>
      <c r="K5" s="167"/>
    </row>
    <row r="6" spans="1:11" ht="18.5" customHeight="1" x14ac:dyDescent="0.35">
      <c r="A6" s="165" t="s">
        <v>256</v>
      </c>
      <c r="B6" s="165"/>
      <c r="C6" s="165"/>
      <c r="D6" s="165"/>
      <c r="E6" s="165"/>
      <c r="F6" s="165"/>
      <c r="G6" s="165"/>
      <c r="H6" s="165"/>
      <c r="I6" s="165"/>
      <c r="J6" s="165"/>
      <c r="K6" s="165"/>
    </row>
    <row r="7" spans="1:11" ht="18.5" customHeight="1" x14ac:dyDescent="0.35">
      <c r="A7" s="165" t="s">
        <v>257</v>
      </c>
      <c r="B7" s="165"/>
      <c r="C7" s="165"/>
      <c r="D7" s="165"/>
      <c r="E7" s="165"/>
      <c r="F7" s="165"/>
      <c r="G7" s="165"/>
      <c r="H7" s="165"/>
      <c r="I7" s="165"/>
      <c r="J7" s="165"/>
      <c r="K7" s="165"/>
    </row>
    <row r="8" spans="1:11" ht="18.5" customHeight="1" x14ac:dyDescent="0.45">
      <c r="A8" s="24"/>
      <c r="B8" s="24"/>
      <c r="C8" s="24"/>
      <c r="D8" s="24"/>
      <c r="E8" s="24"/>
      <c r="F8" s="24"/>
      <c r="G8" s="24"/>
      <c r="H8" s="24"/>
      <c r="I8" s="24"/>
    </row>
  </sheetData>
  <mergeCells count="6">
    <mergeCell ref="A7:K7"/>
    <mergeCell ref="A2:K2"/>
    <mergeCell ref="A3:K3"/>
    <mergeCell ref="A4:K4"/>
    <mergeCell ref="A5:K5"/>
    <mergeCell ref="A6:K6"/>
  </mergeCells>
  <pageMargins left="0.25" right="0.25" top="0.4" bottom="0.4" header="0.15" footer="0.15"/>
  <pageSetup scale="75" fitToHeight="0" orientation="portrait" r:id="rId1"/>
  <headerFooter>
    <oddFooter>&amp;C&amp;"Aptos"&amp;8 Infosys Ltd Financial Analysis | FY2014–FY2025&amp;RPage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Project Overview</vt:lpstr>
      <vt:lpstr>Name &amp; Details</vt:lpstr>
      <vt:lpstr>OBJECTIVE &amp; METHODOLOGY</vt:lpstr>
      <vt:lpstr>Profit &amp; Loss</vt:lpstr>
      <vt:lpstr>Cash Flow Statement</vt:lpstr>
      <vt:lpstr>Balance sheet</vt:lpstr>
      <vt:lpstr>Ratios Cal &amp; Analysis</vt:lpstr>
      <vt:lpstr>Dashboard</vt:lpstr>
      <vt:lpstr>Profitability Analysis</vt:lpstr>
      <vt:lpstr>Efficiency &amp; Working Capital An</vt:lpstr>
      <vt:lpstr>Liquidity &amp; Solvency Analysis</vt:lpstr>
      <vt:lpstr>Investment &amp; Financial Conclusi</vt:lpstr>
      <vt:lpstr>'Balance sheet'!Print_Area</vt:lpstr>
      <vt:lpstr>'Cash Flow Statement'!Print_Area</vt:lpstr>
      <vt:lpstr>Dashboard!Print_Area</vt:lpstr>
      <vt:lpstr>'Efficiency &amp; Working Capital An'!Print_Area</vt:lpstr>
      <vt:lpstr>'Investment &amp; Financial Conclusi'!Print_Area</vt:lpstr>
      <vt:lpstr>'Liquidity &amp; Solvency Analysis'!Print_Area</vt:lpstr>
      <vt:lpstr>'Name &amp; Details'!Print_Area</vt:lpstr>
      <vt:lpstr>'OBJECTIVE &amp; METHODOLOGY'!Print_Area</vt:lpstr>
      <vt:lpstr>'Profit &amp; Loss'!Print_Area</vt:lpstr>
      <vt:lpstr>'Profitability Analysis'!Print_Area</vt:lpstr>
      <vt:lpstr>'Project Overview'!Print_Area</vt:lpstr>
      <vt:lpstr>'Ratios Cal &amp; Analysis'!Print_Area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JAGTAP</dc:creator>
  <cp:lastModifiedBy>AYUSH JAGTAP</cp:lastModifiedBy>
  <cp:lastPrinted>2026-10-02T10:17:19Z</cp:lastPrinted>
  <dcterms:created xsi:type="dcterms:W3CDTF">2026-01-23T11:39:30Z</dcterms:created>
  <dcterms:modified xsi:type="dcterms:W3CDTF">2026-10-02T11:05:04Z</dcterms:modified>
</cp:coreProperties>
</file>